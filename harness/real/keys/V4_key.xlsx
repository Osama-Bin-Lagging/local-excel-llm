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aS Metrics" sheetId="1" state="visible" r:id="rId1"/>
    <sheet name="PnL" sheetId="2" state="visible" r:id="rId2"/>
    <sheet name="Loan Calc" sheetId="3" state="visible" r:id="rId3"/>
    <sheet name="Budget" sheetId="4" state="visible" r:id="rId4"/>
    <sheet name="Stock Data" sheetId="5" state="visible" r:id="rId5"/>
    <sheet name="Inventory" sheetId="6" state="visible" r:id="rId6"/>
    <sheet name="Project" sheetId="7" state="visible" r:id="rId7"/>
    <sheet name="Sc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SaaS monthly metrics (INR)</t>
        </is>
      </c>
    </row>
    <row r="3">
      <c r="A3" t="inlineStr">
        <is>
          <t>Month</t>
        </is>
      </c>
      <c r="B3" t="inlineStr">
        <is>
          <t>Customers at start</t>
        </is>
      </c>
      <c r="C3" t="inlineStr">
        <is>
          <t>New customers</t>
        </is>
      </c>
      <c r="D3" t="inlineStr">
        <is>
          <t>Customers lost</t>
        </is>
      </c>
      <c r="E3" t="inlineStr">
        <is>
          <t>MRR (INR)</t>
        </is>
      </c>
      <c r="F3" t="inlineStr">
        <is>
          <t>Sales &amp; marketing spend</t>
        </is>
      </c>
      <c r="G3" t="inlineStr">
        <is>
          <t>Website visitors</t>
        </is>
      </c>
      <c r="H3" t="inlineStr">
        <is>
          <t>Signups</t>
        </is>
      </c>
      <c r="I3" t="inlineStr">
        <is>
          <t>Churn rate</t>
        </is>
      </c>
      <c r="J3" t="inlineStr">
        <is>
          <t>CAC</t>
        </is>
      </c>
      <c r="K3" t="inlineStr">
        <is>
          <t>Conversion rate</t>
        </is>
      </c>
      <c r="L3" t="inlineStr">
        <is>
          <t>MRR growth</t>
        </is>
      </c>
      <c r="M3" t="inlineStr">
        <is>
          <t>ARPU</t>
        </is>
      </c>
      <c r="N3" t="inlineStr">
        <is>
          <t>ARR</t>
        </is>
      </c>
    </row>
    <row r="4">
      <c r="A4" t="inlineStr">
        <is>
          <t>Jan</t>
        </is>
      </c>
      <c r="B4" t="n">
        <v>1200</v>
      </c>
      <c r="C4" t="n">
        <v>150</v>
      </c>
      <c r="D4" t="n">
        <v>36</v>
      </c>
      <c r="E4" t="n">
        <v>1800000</v>
      </c>
      <c r="F4" t="n">
        <v>900000</v>
      </c>
      <c r="G4" t="n">
        <v>52000</v>
      </c>
      <c r="H4" t="n">
        <v>1560</v>
      </c>
      <c r="I4">
        <f>D4/B4</f>
        <v/>
      </c>
      <c r="J4">
        <f>F4/C4</f>
        <v/>
      </c>
      <c r="K4">
        <f>H4/G4</f>
        <v/>
      </c>
      <c r="M4">
        <f>E4/B4</f>
        <v/>
      </c>
      <c r="N4">
        <f>E4*12</f>
        <v/>
      </c>
    </row>
    <row r="5">
      <c r="A5" t="inlineStr">
        <is>
          <t>Feb</t>
        </is>
      </c>
      <c r="B5" t="n">
        <v>1314</v>
      </c>
      <c r="C5" t="n">
        <v>170</v>
      </c>
      <c r="D5" t="n">
        <v>42</v>
      </c>
      <c r="E5" t="n">
        <v>1990000</v>
      </c>
      <c r="F5" t="n">
        <v>980000</v>
      </c>
      <c r="G5" t="n">
        <v>55000</v>
      </c>
      <c r="H5" t="n">
        <v>1650</v>
      </c>
      <c r="I5">
        <f>D5/B5</f>
        <v/>
      </c>
      <c r="J5">
        <f>F5/C5</f>
        <v/>
      </c>
      <c r="K5">
        <f>H5/G5</f>
        <v/>
      </c>
      <c r="L5">
        <f>E5/E4-1</f>
        <v/>
      </c>
      <c r="M5">
        <f>E5/B5</f>
        <v/>
      </c>
      <c r="N5">
        <f>E5*12</f>
        <v/>
      </c>
    </row>
    <row r="6">
      <c r="A6" t="inlineStr">
        <is>
          <t>Mar</t>
        </is>
      </c>
      <c r="B6" t="n">
        <v>1442</v>
      </c>
      <c r="C6" t="n">
        <v>160</v>
      </c>
      <c r="D6" t="n">
        <v>50</v>
      </c>
      <c r="E6" t="n">
        <v>2150000</v>
      </c>
      <c r="F6" t="n">
        <v>1050000</v>
      </c>
      <c r="G6" t="n">
        <v>58500</v>
      </c>
      <c r="H6" t="n">
        <v>1700</v>
      </c>
      <c r="I6">
        <f>D6/B6</f>
        <v/>
      </c>
      <c r="J6">
        <f>F6/C6</f>
        <v/>
      </c>
      <c r="K6">
        <f>H6/G6</f>
        <v/>
      </c>
      <c r="L6">
        <f>E6/E5-1</f>
        <v/>
      </c>
      <c r="M6">
        <f>E6/B6</f>
        <v/>
      </c>
      <c r="N6">
        <f>E6*12</f>
        <v/>
      </c>
    </row>
    <row r="7">
      <c r="A7" t="inlineStr">
        <is>
          <t>Apr</t>
        </is>
      </c>
      <c r="B7" t="n">
        <v>1552</v>
      </c>
      <c r="C7" t="n">
        <v>190</v>
      </c>
      <c r="D7" t="n">
        <v>47</v>
      </c>
      <c r="E7" t="n">
        <v>2330000</v>
      </c>
      <c r="F7" t="n">
        <v>1120000</v>
      </c>
      <c r="G7" t="n">
        <v>61000</v>
      </c>
      <c r="H7" t="n">
        <v>1830</v>
      </c>
      <c r="I7">
        <f>D7/B7</f>
        <v/>
      </c>
      <c r="J7">
        <f>F7/C7</f>
        <v/>
      </c>
      <c r="K7">
        <f>H7/G7</f>
        <v/>
      </c>
      <c r="L7">
        <f>E7/E6-1</f>
        <v/>
      </c>
      <c r="M7">
        <f>E7/B7</f>
        <v/>
      </c>
      <c r="N7">
        <f>E7*12</f>
        <v/>
      </c>
    </row>
    <row r="8">
      <c r="A8" t="inlineStr">
        <is>
          <t>May</t>
        </is>
      </c>
      <c r="B8" t="n">
        <v>1695</v>
      </c>
      <c r="C8" t="n">
        <v>210</v>
      </c>
      <c r="D8" t="n">
        <v>55</v>
      </c>
      <c r="E8" t="n">
        <v>2560000</v>
      </c>
      <c r="F8" t="n">
        <v>1200000</v>
      </c>
      <c r="G8" t="n">
        <v>64000</v>
      </c>
      <c r="H8" t="n">
        <v>1980</v>
      </c>
      <c r="I8">
        <f>D8/B8</f>
        <v/>
      </c>
      <c r="J8">
        <f>F8/C8</f>
        <v/>
      </c>
      <c r="K8">
        <f>H8/G8</f>
        <v/>
      </c>
      <c r="L8">
        <f>E8/E7-1</f>
        <v/>
      </c>
      <c r="M8">
        <f>E8/B8</f>
        <v/>
      </c>
      <c r="N8">
        <f>E8*12</f>
        <v/>
      </c>
    </row>
    <row r="9">
      <c r="A9" t="inlineStr">
        <is>
          <t>Jun</t>
        </is>
      </c>
      <c r="B9" t="n">
        <v>1850</v>
      </c>
      <c r="C9" t="n">
        <v>200</v>
      </c>
      <c r="D9" t="n">
        <v>61</v>
      </c>
      <c r="E9" t="n">
        <v>2760000</v>
      </c>
      <c r="F9" t="n">
        <v>1180000</v>
      </c>
      <c r="G9" t="n">
        <v>66500</v>
      </c>
      <c r="H9" t="n">
        <v>2050</v>
      </c>
      <c r="I9">
        <f>D9/B9</f>
        <v/>
      </c>
      <c r="J9">
        <f>F9/C9</f>
        <v/>
      </c>
      <c r="K9">
        <f>H9/G9</f>
        <v/>
      </c>
      <c r="L9">
        <f>E9/E8-1</f>
        <v/>
      </c>
      <c r="M9">
        <f>E9/B9</f>
        <v/>
      </c>
      <c r="N9">
        <f>E9*12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INR mm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  <c r="E1" t="inlineStr">
        <is>
          <t>FY2025</t>
        </is>
      </c>
    </row>
    <row r="2">
      <c r="A2" t="inlineStr">
        <is>
          <t>Revenue</t>
        </is>
      </c>
      <c r="B2" t="n">
        <v>8000</v>
      </c>
      <c r="C2" t="n">
        <v>9200</v>
      </c>
      <c r="D2" t="n">
        <v>10500</v>
      </c>
      <c r="E2" t="n">
        <v>11800</v>
      </c>
    </row>
    <row r="3">
      <c r="A3" t="inlineStr">
        <is>
          <t>COGS</t>
        </is>
      </c>
      <c r="B3" t="n">
        <v>4800</v>
      </c>
      <c r="C3" t="n">
        <v>5400</v>
      </c>
      <c r="D3" t="n">
        <v>6050</v>
      </c>
      <c r="E3" t="n">
        <v>6700</v>
      </c>
    </row>
    <row r="4">
      <c r="A4" t="inlineStr">
        <is>
          <t>Operating expenses (excl. D&amp;A)</t>
        </is>
      </c>
      <c r="B4" t="n">
        <v>1500</v>
      </c>
      <c r="C4" t="n">
        <v>1650</v>
      </c>
      <c r="D4" t="n">
        <v>1800</v>
      </c>
      <c r="E4" t="n">
        <v>1950</v>
      </c>
    </row>
    <row r="5">
      <c r="A5" t="inlineStr">
        <is>
          <t>D&amp;A</t>
        </is>
      </c>
      <c r="B5" t="n">
        <v>300</v>
      </c>
      <c r="C5" t="n">
        <v>330</v>
      </c>
      <c r="D5" t="n">
        <v>360</v>
      </c>
      <c r="E5" t="n">
        <v>390</v>
      </c>
    </row>
    <row r="6">
      <c r="A6" t="inlineStr">
        <is>
          <t>Interest expense</t>
        </is>
      </c>
      <c r="B6" t="n">
        <v>200</v>
      </c>
      <c r="C6" t="n">
        <v>190</v>
      </c>
      <c r="D6" t="n">
        <v>180</v>
      </c>
      <c r="E6" t="n">
        <v>170</v>
      </c>
    </row>
    <row r="7">
      <c r="A7" t="inlineStr">
        <is>
          <t>Tax rate</t>
        </is>
      </c>
      <c r="B7" t="n">
        <v>0.25</v>
      </c>
      <c r="C7" t="n">
        <v>0.25</v>
      </c>
      <c r="D7" t="n">
        <v>0.25</v>
      </c>
      <c r="E7" t="n">
        <v>0.25</v>
      </c>
    </row>
    <row r="8">
      <c r="A8" t="inlineStr">
        <is>
          <t>Gross margin</t>
        </is>
      </c>
      <c r="B8">
        <f>(B2-B3)/B2</f>
        <v/>
      </c>
      <c r="C8">
        <f>(C2-C3)/C2</f>
        <v/>
      </c>
      <c r="D8">
        <f>(D2-D3)/D2</f>
        <v/>
      </c>
      <c r="E8">
        <f>(E2-E3)/E2</f>
        <v/>
      </c>
    </row>
    <row r="9">
      <c r="A9" t="inlineStr">
        <is>
          <t>EBIT</t>
        </is>
      </c>
      <c r="B9">
        <f>B2-B3-B4-B5</f>
        <v/>
      </c>
      <c r="C9">
        <f>C2-C3-C4-C5</f>
        <v/>
      </c>
      <c r="D9">
        <f>D2-D3-D4-D5</f>
        <v/>
      </c>
      <c r="E9">
        <f>E2-E3-E4-E5</f>
        <v/>
      </c>
    </row>
    <row r="10">
      <c r="A10" t="inlineStr">
        <is>
          <t>Net income</t>
        </is>
      </c>
      <c r="B10">
        <f>(B9-B6)*(1-B7)</f>
        <v/>
      </c>
      <c r="C10">
        <f>(C9-C6)*(1-C7)</f>
        <v/>
      </c>
      <c r="D10">
        <f>(D9-D6)*(1-D7)</f>
        <v/>
      </c>
      <c r="E10">
        <f>(E9-E6)*(1-E7)</f>
        <v/>
      </c>
    </row>
    <row r="11">
      <c r="A11" t="inlineStr">
        <is>
          <t>Interest coverage</t>
        </is>
      </c>
      <c r="B11">
        <f>B9/B6</f>
        <v/>
      </c>
      <c r="C11">
        <f>C9/C6</f>
        <v/>
      </c>
      <c r="D11">
        <f>D9/D6</f>
        <v/>
      </c>
      <c r="E11">
        <f>E9/E6</f>
        <v/>
      </c>
    </row>
    <row r="12">
      <c r="A12" t="inlineStr">
        <is>
          <t>Revenue CAGR FY2022-FY2025</t>
        </is>
      </c>
      <c r="B12">
        <f>(E2/B2)^(1/3)-1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loan</t>
        </is>
      </c>
    </row>
    <row r="2">
      <c r="A2" t="inlineStr">
        <is>
          <t>Loan amount (INR)</t>
        </is>
      </c>
      <c r="B2" t="n">
        <v>2500000</v>
      </c>
    </row>
    <row r="3">
      <c r="A3" t="inlineStr">
        <is>
          <t>Annual interest rate</t>
        </is>
      </c>
      <c r="B3" t="n">
        <v>0.09</v>
      </c>
    </row>
    <row r="4">
      <c r="A4" t="inlineStr">
        <is>
          <t>Tenure (years)</t>
        </is>
      </c>
      <c r="B4" t="n">
        <v>20</v>
      </c>
    </row>
    <row r="6">
      <c r="A6" t="inlineStr">
        <is>
          <t>Monthly EMI</t>
        </is>
      </c>
      <c r="B6">
        <f>PMT(B3/12,B4*12,-B2)</f>
        <v/>
      </c>
    </row>
    <row r="7">
      <c r="A7" t="inlineStr">
        <is>
          <t>Total interest paid</t>
        </is>
      </c>
      <c r="B7">
        <f>B6*B4*12-B2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Actual</t>
        </is>
      </c>
      <c r="D1" t="inlineStr">
        <is>
          <t>Variance</t>
        </is>
      </c>
      <c r="E1" t="inlineStr">
        <is>
          <t>Variance %</t>
        </is>
      </c>
    </row>
    <row r="2">
      <c r="A2" t="inlineStr">
        <is>
          <t>Marketing</t>
        </is>
      </c>
      <c r="B2" t="n">
        <v>500000</v>
      </c>
      <c r="C2" t="n">
        <v>565000</v>
      </c>
      <c r="D2">
        <f>C2-B2</f>
        <v/>
      </c>
      <c r="E2">
        <f>C2/B2-1</f>
        <v/>
      </c>
    </row>
    <row r="3">
      <c r="A3" t="inlineStr">
        <is>
          <t>Sales</t>
        </is>
      </c>
      <c r="B3" t="n">
        <v>800000</v>
      </c>
      <c r="C3" t="n">
        <v>760000</v>
      </c>
      <c r="D3">
        <f>C3-B3</f>
        <v/>
      </c>
      <c r="E3">
        <f>C3/B3-1</f>
        <v/>
      </c>
    </row>
    <row r="4">
      <c r="A4" t="inlineStr">
        <is>
          <t>IT</t>
        </is>
      </c>
      <c r="B4" t="n">
        <v>650000</v>
      </c>
      <c r="C4" t="n">
        <v>702000</v>
      </c>
      <c r="D4">
        <f>C4-B4</f>
        <v/>
      </c>
      <c r="E4">
        <f>C4/B4-1</f>
        <v/>
      </c>
    </row>
    <row r="5">
      <c r="A5" t="inlineStr">
        <is>
          <t>HR</t>
        </is>
      </c>
      <c r="B5" t="n">
        <v>300000</v>
      </c>
      <c r="C5" t="n">
        <v>288000</v>
      </c>
      <c r="D5">
        <f>C5-B5</f>
        <v/>
      </c>
      <c r="E5">
        <f>C5/B5-1</f>
        <v/>
      </c>
    </row>
    <row r="6">
      <c r="A6" t="inlineStr">
        <is>
          <t>Operations</t>
        </is>
      </c>
      <c r="B6" t="n">
        <v>900000</v>
      </c>
      <c r="C6" t="n">
        <v>945000</v>
      </c>
      <c r="D6">
        <f>C6-B6</f>
        <v/>
      </c>
      <c r="E6">
        <f>C6/B6-1</f>
        <v/>
      </c>
    </row>
    <row r="7">
      <c r="A7" t="inlineStr">
        <is>
          <t>Finance</t>
        </is>
      </c>
      <c r="B7" t="n">
        <v>250000</v>
      </c>
      <c r="C7" t="n">
        <v>240000</v>
      </c>
      <c r="D7">
        <f>C7-B7</f>
        <v/>
      </c>
      <c r="E7">
        <f>C7/B7-1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Share price</t>
        </is>
      </c>
      <c r="C1" t="inlineStr">
        <is>
          <t>Shares (mm)</t>
        </is>
      </c>
      <c r="D1" t="inlineStr">
        <is>
          <t>Net income</t>
        </is>
      </c>
      <c r="E1" t="inlineStr">
        <is>
          <t>Debt</t>
        </is>
      </c>
      <c r="F1" t="inlineStr">
        <is>
          <t>Cash</t>
        </is>
      </c>
      <c r="G1" t="inlineStr">
        <is>
          <t>Market cap</t>
        </is>
      </c>
      <c r="H1" t="inlineStr">
        <is>
          <t>EV</t>
        </is>
      </c>
      <c r="I1" t="inlineStr">
        <is>
          <t>P/E</t>
        </is>
      </c>
    </row>
    <row r="2">
      <c r="A2" t="inlineStr">
        <is>
          <t>Alpha Ltd</t>
        </is>
      </c>
      <c r="B2" t="n">
        <v>120</v>
      </c>
      <c r="C2" t="n">
        <v>50</v>
      </c>
      <c r="D2" t="n">
        <v>300</v>
      </c>
      <c r="E2" t="n">
        <v>1500</v>
      </c>
      <c r="F2" t="n">
        <v>400</v>
      </c>
      <c r="G2">
        <f>B2*C2</f>
        <v/>
      </c>
      <c r="H2">
        <f>G2+E2-F2</f>
        <v/>
      </c>
      <c r="I2">
        <f>G2/D2</f>
        <v/>
      </c>
    </row>
    <row r="3">
      <c r="A3" t="inlineStr">
        <is>
          <t>Beta Ltd</t>
        </is>
      </c>
      <c r="B3" t="n">
        <v>450</v>
      </c>
      <c r="C3" t="n">
        <v>20</v>
      </c>
      <c r="D3" t="n">
        <v>720</v>
      </c>
      <c r="E3" t="n">
        <v>800</v>
      </c>
      <c r="F3" t="n">
        <v>350</v>
      </c>
      <c r="G3">
        <f>B3*C3</f>
        <v/>
      </c>
      <c r="H3">
        <f>G3+E3-F3</f>
        <v/>
      </c>
      <c r="I3">
        <f>G3/D3</f>
        <v/>
      </c>
    </row>
    <row r="4">
      <c r="A4" t="inlineStr">
        <is>
          <t>Gamma Ltd</t>
        </is>
      </c>
      <c r="B4" t="n">
        <v>88</v>
      </c>
      <c r="C4" t="n">
        <v>120</v>
      </c>
      <c r="D4" t="n">
        <v>580</v>
      </c>
      <c r="E4" t="n">
        <v>2400</v>
      </c>
      <c r="F4" t="n">
        <v>600</v>
      </c>
      <c r="G4">
        <f>B4*C4</f>
        <v/>
      </c>
      <c r="H4">
        <f>G4+E4-F4</f>
        <v/>
      </c>
      <c r="I4">
        <f>G4/D4</f>
        <v/>
      </c>
    </row>
    <row r="5">
      <c r="A5" t="inlineStr">
        <is>
          <t>Delta Ltd</t>
        </is>
      </c>
      <c r="B5" t="n">
        <v>1500</v>
      </c>
      <c r="C5" t="n">
        <v>8</v>
      </c>
      <c r="D5" t="n">
        <v>1100</v>
      </c>
      <c r="E5" t="n">
        <v>500</v>
      </c>
      <c r="F5" t="n">
        <v>900</v>
      </c>
      <c r="G5">
        <f>B5*C5</f>
        <v/>
      </c>
      <c r="H5">
        <f>G5+E5-F5</f>
        <v/>
      </c>
      <c r="I5">
        <f>G5/D5</f>
        <v/>
      </c>
    </row>
    <row r="6">
      <c r="A6" t="inlineStr">
        <is>
          <t>Epsilon Ltd</t>
        </is>
      </c>
      <c r="B6" t="n">
        <v>310</v>
      </c>
      <c r="C6" t="n">
        <v>35</v>
      </c>
      <c r="D6" t="n">
        <v>640</v>
      </c>
      <c r="E6" t="n">
        <v>900</v>
      </c>
      <c r="F6" t="n">
        <v>200</v>
      </c>
      <c r="G6">
        <f>B6*C6</f>
        <v/>
      </c>
      <c r="H6">
        <f>G6+E6-F6</f>
        <v/>
      </c>
      <c r="I6">
        <f>G6/D6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COGS</t>
        </is>
      </c>
      <c r="C1" t="inlineStr">
        <is>
          <t>Opening inventory</t>
        </is>
      </c>
      <c r="D1" t="inlineStr">
        <is>
          <t>Closing inventory</t>
        </is>
      </c>
      <c r="E1" t="inlineStr">
        <is>
          <t>Inventory turnover</t>
        </is>
      </c>
    </row>
    <row r="2">
      <c r="A2" t="inlineStr">
        <is>
          <t>Widgets</t>
        </is>
      </c>
      <c r="B2" t="n">
        <v>4800000</v>
      </c>
      <c r="C2" t="n">
        <v>600000</v>
      </c>
      <c r="D2" t="n">
        <v>680000</v>
      </c>
      <c r="E2">
        <f>B2/((C2+D2)/2)</f>
        <v/>
      </c>
    </row>
    <row r="3">
      <c r="A3" t="inlineStr">
        <is>
          <t>Gadgets</t>
        </is>
      </c>
      <c r="B3" t="n">
        <v>3100000</v>
      </c>
      <c r="C3" t="n">
        <v>520000</v>
      </c>
      <c r="D3" t="n">
        <v>460000</v>
      </c>
      <c r="E3">
        <f>B3/((C3+D3)/2)</f>
        <v/>
      </c>
    </row>
    <row r="4">
      <c r="A4" t="inlineStr">
        <is>
          <t>Gizmos</t>
        </is>
      </c>
      <c r="B4" t="n">
        <v>2650000</v>
      </c>
      <c r="C4" t="n">
        <v>300000</v>
      </c>
      <c r="D4" t="n">
        <v>362000</v>
      </c>
      <c r="E4">
        <f>B4/((C4+D4)/2)</f>
        <v/>
      </c>
    </row>
    <row r="5">
      <c r="A5" t="inlineStr">
        <is>
          <t>Doohickeys</t>
        </is>
      </c>
      <c r="B5" t="n">
        <v>1900000</v>
      </c>
      <c r="C5" t="n">
        <v>410000</v>
      </c>
      <c r="D5" t="n">
        <v>390000</v>
      </c>
      <c r="E5">
        <f>B5/((C5+D5)/2)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inlineStr">
        <is>
          <t>Cash flow (INR)</t>
        </is>
      </c>
      <c r="B2" t="n">
        <v>-10000000</v>
      </c>
      <c r="C2" t="n">
        <v>2500000</v>
      </c>
      <c r="D2" t="n">
        <v>3000000</v>
      </c>
      <c r="E2" t="n">
        <v>3200000</v>
      </c>
      <c r="F2" t="n">
        <v>3500000</v>
      </c>
      <c r="G2" t="n">
        <v>2800000</v>
      </c>
    </row>
    <row r="4">
      <c r="A4" t="inlineStr">
        <is>
          <t>Discount rate</t>
        </is>
      </c>
      <c r="B4" t="n">
        <v>0.12</v>
      </c>
    </row>
    <row r="6">
      <c r="A6" t="inlineStr">
        <is>
          <t>NPV</t>
        </is>
      </c>
      <c r="B6">
        <f>NPV(B4,C2:G2)+B2</f>
        <v/>
      </c>
    </row>
    <row r="7">
      <c r="A7" t="inlineStr">
        <is>
          <t>IRR</t>
        </is>
      </c>
      <c r="B7">
        <f>IRR(B2:G2)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Score</t>
        </is>
      </c>
      <c r="C1" t="inlineStr">
        <is>
          <t>z-score</t>
        </is>
      </c>
      <c r="D1" t="inlineStr">
        <is>
          <t>Rank</t>
        </is>
      </c>
    </row>
    <row r="2">
      <c r="A2" t="inlineStr">
        <is>
          <t>Asha</t>
        </is>
      </c>
      <c r="B2" t="n">
        <v>72</v>
      </c>
      <c r="C2">
        <f>(B2-AVERAGE($B$2:$B$11))/STDEV($B$2:$B$11)</f>
        <v/>
      </c>
      <c r="D2">
        <f>RANK(B2,$B$2:$B$11,0)</f>
        <v/>
      </c>
    </row>
    <row r="3">
      <c r="A3" t="inlineStr">
        <is>
          <t>Bilal</t>
        </is>
      </c>
      <c r="B3" t="n">
        <v>85</v>
      </c>
      <c r="C3">
        <f>(B3-AVERAGE($B$2:$B$11))/STDEV($B$2:$B$11)</f>
        <v/>
      </c>
      <c r="D3">
        <f>RANK(B3,$B$2:$B$11,0)</f>
        <v/>
      </c>
    </row>
    <row r="4">
      <c r="A4" t="inlineStr">
        <is>
          <t>Chen</t>
        </is>
      </c>
      <c r="B4" t="n">
        <v>64</v>
      </c>
      <c r="C4">
        <f>(B4-AVERAGE($B$2:$B$11))/STDEV($B$2:$B$11)</f>
        <v/>
      </c>
      <c r="D4">
        <f>RANK(B4,$B$2:$B$11,0)</f>
        <v/>
      </c>
    </row>
    <row r="5">
      <c r="A5" t="inlineStr">
        <is>
          <t>Divya</t>
        </is>
      </c>
      <c r="B5" t="n">
        <v>90</v>
      </c>
      <c r="C5">
        <f>(B5-AVERAGE($B$2:$B$11))/STDEV($B$2:$B$11)</f>
        <v/>
      </c>
      <c r="D5">
        <f>RANK(B5,$B$2:$B$11,0)</f>
        <v/>
      </c>
    </row>
    <row r="6">
      <c r="A6" t="inlineStr">
        <is>
          <t>Elan</t>
        </is>
      </c>
      <c r="B6" t="n">
        <v>78</v>
      </c>
      <c r="C6">
        <f>(B6-AVERAGE($B$2:$B$11))/STDEV($B$2:$B$11)</f>
        <v/>
      </c>
      <c r="D6">
        <f>RANK(B6,$B$2:$B$11,0)</f>
        <v/>
      </c>
    </row>
    <row r="7">
      <c r="A7" t="inlineStr">
        <is>
          <t>Farah</t>
        </is>
      </c>
      <c r="B7" t="n">
        <v>55</v>
      </c>
      <c r="C7">
        <f>(B7-AVERAGE($B$2:$B$11))/STDEV($B$2:$B$11)</f>
        <v/>
      </c>
      <c r="D7">
        <f>RANK(B7,$B$2:$B$11,0)</f>
        <v/>
      </c>
    </row>
    <row r="8">
      <c r="A8" t="inlineStr">
        <is>
          <t>Gopal</t>
        </is>
      </c>
      <c r="B8" t="n">
        <v>88</v>
      </c>
      <c r="C8">
        <f>(B8-AVERAGE($B$2:$B$11))/STDEV($B$2:$B$11)</f>
        <v/>
      </c>
      <c r="D8">
        <f>RANK(B8,$B$2:$B$11,0)</f>
        <v/>
      </c>
    </row>
    <row r="9">
      <c r="A9" t="inlineStr">
        <is>
          <t>Hina</t>
        </is>
      </c>
      <c r="B9" t="n">
        <v>69</v>
      </c>
      <c r="C9">
        <f>(B9-AVERAGE($B$2:$B$11))/STDEV($B$2:$B$11)</f>
        <v/>
      </c>
      <c r="D9">
        <f>RANK(B9,$B$2:$B$11,0)</f>
        <v/>
      </c>
    </row>
    <row r="10">
      <c r="A10" t="inlineStr">
        <is>
          <t>Ishan</t>
        </is>
      </c>
      <c r="B10" t="n">
        <v>94</v>
      </c>
      <c r="C10">
        <f>(B10-AVERAGE($B$2:$B$11))/STDEV($B$2:$B$11)</f>
        <v/>
      </c>
      <c r="D10">
        <f>RANK(B10,$B$2:$B$11,0)</f>
        <v/>
      </c>
    </row>
    <row r="11">
      <c r="A11" t="inlineStr">
        <is>
          <t>Jaya</t>
        </is>
      </c>
      <c r="B11" t="n">
        <v>81</v>
      </c>
      <c r="C11">
        <f>(B11-AVERAGE($B$2:$B$11))/STDEV($B$2:$B$11)</f>
        <v/>
      </c>
      <c r="D11">
        <f>RANK(B11,$B$2:$B$11,0)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2026-10-23T16:21:34Z</dcterms:created>
  <dcterms:modified xsi:type="dcterms:W3CDTF">2026-10-23T16:21:34Z</dcterms:modified>
</cp:coreProperties>
</file>