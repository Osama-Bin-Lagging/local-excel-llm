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Answer Ke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-mmm-yyyy"/>
    <numFmt numFmtId="165" formatCode="₹#,##0.00;[Red](₹#,##0.00);-"/>
    <numFmt numFmtId="166" formatCode="0.0%"/>
    <numFmt numFmtId="167" formatCode="#,##0.0;(#,##0.0);-"/>
    <numFmt numFmtId="168" formatCode="₹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10"/>
    </font>
    <font>
      <b val="1"/>
      <color rgb="001F4E78"/>
      <sz val="12"/>
    </font>
    <font>
      <b val="1"/>
      <color rgb="001F4E78"/>
    </font>
    <font>
      <name val="Arial"/>
      <b val="1"/>
      <color rgb="001F4E78"/>
      <sz val="12"/>
    </font>
    <font>
      <name val="Arial"/>
      <b val="1"/>
      <color rgb="001F4E78"/>
      <sz val="10"/>
    </font>
    <font>
      <name val="Arial"/>
      <sz val="11"/>
    </font>
    <font>
      <b val="1"/>
      <color rgb="00FFFFFF"/>
    </font>
    <font>
      <color rgb="000000FF"/>
    </font>
    <font>
      <color rgb="00000000"/>
    </font>
    <font>
      <name val="Arial"/>
      <b val="1"/>
      <color rgb="00FFFFFF"/>
      <sz val="10"/>
    </font>
    <font>
      <name val="Arial"/>
      <color rgb="000000FF"/>
      <sz val="10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11" fillId="3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166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65" fontId="10" fillId="4" borderId="0" pivotButton="0" quotePrefix="0" xfId="0"/>
    <xf numFmtId="0" fontId="10" fillId="4" borderId="0" pivotButton="0" quotePrefix="0" xfId="0"/>
    <xf numFmtId="0" fontId="9" fillId="0" borderId="0" pivotButton="0" quotePrefix="0" xfId="0"/>
    <xf numFmtId="1" fontId="9" fillId="0" borderId="0" pivotButton="0" quotePrefix="0" xfId="0"/>
    <xf numFmtId="166" fontId="9" fillId="0" borderId="0" pivotButton="0" quotePrefix="0" xfId="0"/>
    <xf numFmtId="0" fontId="7" fillId="0" borderId="0" applyAlignment="1" pivotButton="0" quotePrefix="0" xfId="0">
      <alignment vertical="center"/>
    </xf>
    <xf numFmtId="167" fontId="0" fillId="4" borderId="0" pivotButton="0" quotePrefix="0" xfId="0"/>
    <xf numFmtId="168" fontId="0" fillId="4" borderId="0" pivotButton="0" quotePrefix="0" xfId="0"/>
    <xf numFmtId="0" fontId="7" fillId="4" borderId="0" applyAlignment="1" pivotButton="0" quotePrefix="0" xfId="0">
      <alignment vertical="center" wrapText="1"/>
    </xf>
    <xf numFmtId="164" fontId="12" fillId="0" borderId="0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166" fontId="12" fillId="0" borderId="0" applyAlignment="1" pivotButton="0" quotePrefix="0" xfId="0">
      <alignment vertical="center"/>
    </xf>
    <xf numFmtId="165" fontId="10" fillId="4" borderId="0" pivotButton="0" quotePrefix="0" xfId="0"/>
    <xf numFmtId="166" fontId="9" fillId="0" borderId="0" pivotButton="0" quotePrefix="0" xfId="0"/>
    <xf numFmtId="167" fontId="0" fillId="4" borderId="0" pivotButton="0" quotePrefix="0" xfId="0"/>
    <xf numFmtId="168" fontId="0" fillId="4" borderId="0" pivotButton="0" quotePrefix="0" xfId="0"/>
    <xf numFmtId="166" fontId="0" fillId="4" borderId="0" pivotButton="0" quotePrefix="0" xfId="0"/>
    <xf numFmtId="168" fontId="0" fillId="0" borderId="0" pivotButton="0" quotePrefix="0" xfId="0"/>
    <xf numFmtId="0" fontId="3" fillId="0" borderId="0" pivotButton="0" quotePrefix="0" xfId="0"/>
    <xf numFmtId="0" fontId="0" fillId="4" borderId="0" applyAlignment="1" pivotButton="0" quotePrefix="0" xfId="0">
      <alignment vertical="top" wrapText="1"/>
    </xf>
    <xf numFmtId="0" fontId="1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0" pivotButton="0" quotePrefix="0" xfId="0"/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Delivered Net Sales by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'Answer Key'!C38</f>
            </strRef>
          </tx>
          <spPr>
            <a:ln xmlns:a="http://schemas.openxmlformats.org/drawingml/2006/main">
              <a:prstDash val="solid"/>
            </a:ln>
          </spPr>
          <cat>
            <numRef>
              <f>'Answer Key'!$B$39:$B$41</f>
            </numRef>
          </cat>
          <val>
            <numRef>
              <f>'Answer Key'!$C$39:$C$41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31</row>
      <rowOff>0</rowOff>
    </from>
    <ext cx="3600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rdersTable" displayName="OrdersTable" ref="A4:R124" headerRowCount="1">
  <autoFilter ref="A4:R124"/>
  <tableColumns count="18">
    <tableColumn id="1" name="Order ID"/>
    <tableColumn id="2" name="Order Date"/>
    <tableColumn id="3" name="Customer ID"/>
    <tableColumn id="4" name="Region"/>
    <tableColumn id="5" name="Channel"/>
    <tableColumn id="6" name="Category"/>
    <tableColumn id="7" name="Product"/>
    <tableColumn id="8" name="Quantity"/>
    <tableColumn id="9" name="Unit Price (INR)"/>
    <tableColumn id="10" name="Discount %"/>
    <tableColumn id="11" name="Cost (INR)"/>
    <tableColumn id="12" name="Reported Revenue (INR)"/>
    <tableColumn id="13" name="Status"/>
    <tableColumn id="14" name="Rating"/>
    <tableColumn id="15" name="Gross Sales (INR)"/>
    <tableColumn id="16" name="Net Sales (INR)"/>
    <tableColumn id="17" name="Gross Profit (INR)"/>
    <tableColumn id="18" name="Delivered Flag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DATA ANALYTICS | EXCEL ASSESSMENT</t>
        </is>
      </c>
    </row>
    <row r="2" ht="30" customHeight="1">
      <c r="A2" s="2" t="inlineStr">
        <is>
          <t>Mock analyst recruitment exercise • E-commerce performance &amp; data quality • 60 minutes</t>
        </is>
      </c>
    </row>
    <row r="4">
      <c r="A4" s="3" t="inlineStr">
        <is>
          <t>Candidate brief</t>
        </is>
      </c>
    </row>
    <row r="5" ht="42" customHeight="1">
      <c r="A5" s="4" t="inlineStr">
        <is>
          <t>Scenario</t>
        </is>
      </c>
      <c r="B5" s="5" t="inlineStr">
        <is>
          <t>You are a Data Analyst supporting an e-commerce business. The manager wants a reliable performance snapshot for July–September 2026 and a short list of actionable insights.</t>
        </is>
      </c>
    </row>
    <row r="6" ht="32" customHeight="1">
      <c r="A6" s="4" t="inlineStr">
        <is>
          <t>Time limit</t>
        </is>
      </c>
      <c r="B6" s="5" t="inlineStr">
        <is>
          <t>60 minutes. Work in Excel only. Do not use external sources. Use formulas, PivotTables, filters or other standard Excel features where appropriate.</t>
        </is>
      </c>
    </row>
    <row r="7" ht="42" customHeight="1">
      <c r="A7" s="4" t="inlineStr">
        <is>
          <t>Data notes</t>
        </is>
      </c>
      <c r="B7" s="5" t="inlineStr">
        <is>
          <t>The 'Raw Data' tab contains synthetic order-level records. Some records include missing fields, a duplicate order ID, and orders with different statuses. Do not silently delete data without explaining your treatment.</t>
        </is>
      </c>
    </row>
    <row r="8" ht="42" customHeight="1">
      <c r="A8" s="4" t="inlineStr">
        <is>
          <t>Task 1 — Data quality (10 min)</t>
        </is>
      </c>
      <c r="B8" s="5" t="inlineStr">
        <is>
          <t>On 'Analysis', identify duplicate Order IDs, missing Customer ID / Region / Discount values, and create a clean status or data-quality flag. State how you would treat each issue.</t>
        </is>
      </c>
    </row>
    <row r="9" ht="42" customHeight="1">
      <c r="A9" s="4" t="inlineStr">
        <is>
          <t>Task 2 — Create metrics (15 min)</t>
        </is>
      </c>
      <c r="B9" s="5" t="inlineStr">
        <is>
          <t>Add formulas on 'Raw Data' for Gross Sales (Unit Price × Quantity), Net Sales after discount, Gross Profit (Net Sales − Cost), and a Delivered flag. Handle missing discount values sensibly and document your assumption.</t>
        </is>
      </c>
    </row>
    <row r="10" ht="42" customHeight="1">
      <c r="A10" s="4" t="inlineStr">
        <is>
          <t>Task 3 — Business analysis (20 min)</t>
        </is>
      </c>
      <c r="B10" s="5" t="inlineStr">
        <is>
          <t>On 'Analysis', calculate total orders, delivered orders, cancellation rate, return rate, net sales, gross profit, gross margin, average order value (AOV), and net sales by region, channel and category. Define denominators clearly; avoid treating cancelled/returned orders as delivered sales.</t>
        </is>
      </c>
    </row>
    <row r="11" ht="42" customHeight="1">
      <c r="A11" s="4" t="inlineStr">
        <is>
          <t>Task 4 — Insights (10 min)</t>
        </is>
      </c>
      <c r="B11" s="5" t="inlineStr">
        <is>
          <t>Identify the best-performing region, channel and category using a clearly stated metric. Provide two actionable insights and one caveat about data quality or interpretation.</t>
        </is>
      </c>
    </row>
    <row r="12" ht="32" customHeight="1">
      <c r="A12" s="4" t="inlineStr">
        <is>
          <t>Task 5 — Presentation (5 min)</t>
        </is>
      </c>
      <c r="B12" s="5" t="inlineStr">
        <is>
          <t>Create a compact summary table and at least one chart or PivotTable. Keep formulas readable, apply appropriate number formats and make your assumptions explicit.</t>
        </is>
      </c>
    </row>
    <row r="13" ht="32" customHeight="1">
      <c r="A13" s="4" t="inlineStr">
        <is>
          <t>Formatting</t>
        </is>
      </c>
      <c r="B13" s="5" t="inlineStr">
        <is>
          <t>Blue font for raw inputs, black font for formulas, currency in INR, percentages as 0.0%, counts as whole numbers. Avoid hardcoding derived metrics.</t>
        </is>
      </c>
    </row>
    <row r="14" ht="42" customHeight="1">
      <c r="A14" s="4" t="inlineStr">
        <is>
          <t>Important</t>
        </is>
      </c>
      <c r="B14" s="5" t="inlineStr">
        <is>
          <t>This is a realistic practice simulation, not a claim that every employer uses this exact test. Data analytics Excel rounds may focus on cleaning, lookups, PivotTables, formulas, dashboards, or business interpretation.</t>
        </is>
      </c>
    </row>
  </sheetData>
  <mergeCells count="12">
    <mergeCell ref="A2:F2"/>
    <mergeCell ref="B12:F12"/>
    <mergeCell ref="B7:F7"/>
    <mergeCell ref="B6:F6"/>
    <mergeCell ref="B10:F10"/>
    <mergeCell ref="A1:F1"/>
    <mergeCell ref="B11:F11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3" customWidth="1" min="4" max="4"/>
    <col width="15" customWidth="1" min="5" max="5"/>
    <col width="18" customWidth="1" min="6" max="6"/>
    <col width="22" customWidth="1" min="7" max="7"/>
    <col width="11" customWidth="1" min="8" max="8"/>
    <col width="18" customWidth="1" min="9" max="9"/>
    <col width="13" customWidth="1" min="10" max="10"/>
    <col width="18" customWidth="1" min="11" max="11"/>
    <col width="22" customWidth="1" min="12" max="12"/>
    <col width="14" customWidth="1" min="13" max="13"/>
    <col width="10" customWidth="1" min="14" max="14"/>
    <col width="18" customWidth="1" min="15" max="15"/>
    <col width="18" customWidth="1" min="16" max="16"/>
    <col width="19" customWidth="1" min="17" max="17"/>
    <col width="15" customWidth="1" min="18" max="18"/>
  </cols>
  <sheetData>
    <row r="1" ht="28" customHeight="1">
      <c r="A1" s="1" t="inlineStr">
        <is>
          <t>RAW ORDER DATA</t>
        </is>
      </c>
    </row>
    <row r="2" ht="30" customHeight="1">
      <c r="A2" s="2" t="inlineStr">
        <is>
          <t>Synthetic e-commerce transactions. Derived columns at right are intentionally blank for the candidate to calculate.</t>
        </is>
      </c>
    </row>
    <row r="4" ht="28" customHeight="1">
      <c r="A4" s="6" t="inlineStr">
        <is>
          <t>Order ID</t>
        </is>
      </c>
      <c r="B4" s="6" t="inlineStr">
        <is>
          <t>Order Date</t>
        </is>
      </c>
      <c r="C4" s="6" t="inlineStr">
        <is>
          <t>Customer ID</t>
        </is>
      </c>
      <c r="D4" s="6" t="inlineStr">
        <is>
          <t>Region</t>
        </is>
      </c>
      <c r="E4" s="6" t="inlineStr">
        <is>
          <t>Channel</t>
        </is>
      </c>
      <c r="F4" s="6" t="inlineStr">
        <is>
          <t>Category</t>
        </is>
      </c>
      <c r="G4" s="6" t="inlineStr">
        <is>
          <t>Product</t>
        </is>
      </c>
      <c r="H4" s="6" t="inlineStr">
        <is>
          <t>Quantity</t>
        </is>
      </c>
      <c r="I4" s="6" t="inlineStr">
        <is>
          <t>Unit Price (INR)</t>
        </is>
      </c>
      <c r="J4" s="6" t="inlineStr">
        <is>
          <t>Discount %</t>
        </is>
      </c>
      <c r="K4" s="6" t="inlineStr">
        <is>
          <t>Cost (INR)</t>
        </is>
      </c>
      <c r="L4" s="6" t="inlineStr">
        <is>
          <t>Reported Revenue (INR)</t>
        </is>
      </c>
      <c r="M4" s="6" t="inlineStr">
        <is>
          <t>Status</t>
        </is>
      </c>
      <c r="N4" s="6" t="inlineStr">
        <is>
          <t>Rating</t>
        </is>
      </c>
      <c r="O4" s="6" t="inlineStr">
        <is>
          <t>Gross Sales (INR)</t>
        </is>
      </c>
      <c r="P4" s="6" t="inlineStr">
        <is>
          <t>Net Sales (INR)</t>
        </is>
      </c>
      <c r="Q4" s="6" t="inlineStr">
        <is>
          <t>Gross Profit (INR)</t>
        </is>
      </c>
      <c r="R4" s="6" t="inlineStr">
        <is>
          <t>Delivered Flag</t>
        </is>
      </c>
    </row>
    <row r="5">
      <c r="A5" s="7" t="inlineStr">
        <is>
          <t>ORD5001</t>
        </is>
      </c>
      <c r="B5" s="21" t="n">
        <v>46204</v>
      </c>
      <c r="C5" s="7" t="inlineStr">
        <is>
          <t>C1026</t>
        </is>
      </c>
      <c r="D5" s="7" t="inlineStr">
        <is>
          <t>East</t>
        </is>
      </c>
      <c r="E5" s="7" t="inlineStr">
        <is>
          <t>Website</t>
        </is>
      </c>
      <c r="F5" s="7" t="inlineStr">
        <is>
          <t>Home &amp; Kitchen</t>
        </is>
      </c>
      <c r="G5" s="7" t="inlineStr">
        <is>
          <t>Bedsheet Set</t>
        </is>
      </c>
      <c r="H5" s="7" t="n">
        <v>1</v>
      </c>
      <c r="I5" s="22" t="n">
        <v>1528.98</v>
      </c>
      <c r="J5" s="23" t="n">
        <v>0.2</v>
      </c>
      <c r="K5" s="22" t="n">
        <v>743.71</v>
      </c>
      <c r="L5" s="22" t="n">
        <v>1223.18</v>
      </c>
      <c r="M5" s="7" t="inlineStr">
        <is>
          <t>Delivered</t>
        </is>
      </c>
      <c r="N5" s="11" t="n">
        <v>2</v>
      </c>
      <c r="O5" s="24">
        <f>I5*H5</f>
        <v/>
      </c>
      <c r="P5" s="24">
        <f>O5*(1-IF(J5="",0,J5))</f>
        <v/>
      </c>
      <c r="Q5" s="24">
        <f>P5-K5</f>
        <v/>
      </c>
      <c r="R5" s="13">
        <f>IF(M5="Delivered",1,0)</f>
        <v/>
      </c>
    </row>
    <row r="6">
      <c r="A6" s="7" t="inlineStr">
        <is>
          <t>ORD5002</t>
        </is>
      </c>
      <c r="B6" s="21" t="n">
        <v>46205</v>
      </c>
      <c r="C6" s="7" t="inlineStr">
        <is>
          <t>C1030</t>
        </is>
      </c>
      <c r="D6" s="7" t="inlineStr">
        <is>
          <t>East</t>
        </is>
      </c>
      <c r="E6" s="7" t="inlineStr">
        <is>
          <t>Website</t>
        </is>
      </c>
      <c r="F6" s="7" t="inlineStr">
        <is>
          <t>Sports</t>
        </is>
      </c>
      <c r="G6" s="7" t="inlineStr">
        <is>
          <t>Dumbbell Set</t>
        </is>
      </c>
      <c r="H6" s="7" t="n">
        <v>2</v>
      </c>
      <c r="I6" s="22" t="n">
        <v>2424.03</v>
      </c>
      <c r="J6" s="23" t="n">
        <v>0.1</v>
      </c>
      <c r="K6" s="22" t="n">
        <v>3097.17</v>
      </c>
      <c r="L6" s="22" t="n">
        <v>4363.25</v>
      </c>
      <c r="M6" s="7" t="inlineStr">
        <is>
          <t>Delivered</t>
        </is>
      </c>
      <c r="N6" s="11" t="n">
        <v>5</v>
      </c>
      <c r="O6" s="24">
        <f>I6*H6</f>
        <v/>
      </c>
      <c r="P6" s="24">
        <f>O6*(1-IF(J6="",0,J6))</f>
        <v/>
      </c>
      <c r="Q6" s="24">
        <f>P6-K6</f>
        <v/>
      </c>
      <c r="R6" s="13">
        <f>IF(M6="Delivered",1,0)</f>
        <v/>
      </c>
    </row>
    <row r="7">
      <c r="A7" s="7" t="inlineStr">
        <is>
          <t>ORD5003</t>
        </is>
      </c>
      <c r="B7" s="21" t="n">
        <v>46206</v>
      </c>
      <c r="C7" s="7" t="inlineStr">
        <is>
          <t>C1022</t>
        </is>
      </c>
      <c r="D7" s="7" t="inlineStr">
        <is>
          <t>West</t>
        </is>
      </c>
      <c r="E7" s="7" t="inlineStr">
        <is>
          <t>Website</t>
        </is>
      </c>
      <c r="F7" s="7" t="inlineStr">
        <is>
          <t>Electronics</t>
        </is>
      </c>
      <c r="G7" s="7" t="inlineStr">
        <is>
          <t>Smart Watch</t>
        </is>
      </c>
      <c r="H7" s="7" t="n">
        <v>1</v>
      </c>
      <c r="I7" s="22" t="n">
        <v>4078.98</v>
      </c>
      <c r="J7" s="23" t="n">
        <v>0.15</v>
      </c>
      <c r="K7" s="22" t="n">
        <v>2919.7</v>
      </c>
      <c r="L7" s="22" t="n">
        <v>3467.13</v>
      </c>
      <c r="M7" s="7" t="inlineStr">
        <is>
          <t>Delivered</t>
        </is>
      </c>
      <c r="N7" s="11" t="n">
        <v>1</v>
      </c>
      <c r="O7" s="24">
        <f>I7*H7</f>
        <v/>
      </c>
      <c r="P7" s="24">
        <f>O7*(1-IF(J7="",0,J7))</f>
        <v/>
      </c>
      <c r="Q7" s="24">
        <f>P7-K7</f>
        <v/>
      </c>
      <c r="R7" s="13">
        <f>IF(M7="Delivered",1,0)</f>
        <v/>
      </c>
    </row>
    <row r="8">
      <c r="A8" s="7" t="inlineStr">
        <is>
          <t>ORD5004</t>
        </is>
      </c>
      <c r="B8" s="21" t="n">
        <v>46207</v>
      </c>
      <c r="C8" s="7" t="inlineStr">
        <is>
          <t>C1020</t>
        </is>
      </c>
      <c r="D8" s="7" t="inlineStr">
        <is>
          <t>Central</t>
        </is>
      </c>
      <c r="E8" s="7" t="inlineStr">
        <is>
          <t>Website</t>
        </is>
      </c>
      <c r="F8" s="7" t="inlineStr">
        <is>
          <t>Fashion</t>
        </is>
      </c>
      <c r="G8" s="7" t="inlineStr">
        <is>
          <t>Backpack</t>
        </is>
      </c>
      <c r="H8" s="7" t="n">
        <v>3</v>
      </c>
      <c r="I8" s="22" t="n">
        <v>1899</v>
      </c>
      <c r="J8" s="23" t="n">
        <v>0.05</v>
      </c>
      <c r="K8" s="22" t="n">
        <v>3247.61</v>
      </c>
      <c r="L8" s="22" t="n">
        <v>5412.15</v>
      </c>
      <c r="M8" s="7" t="inlineStr">
        <is>
          <t>Delivered</t>
        </is>
      </c>
      <c r="N8" s="11" t="n">
        <v>3</v>
      </c>
      <c r="O8" s="24">
        <f>I8*H8</f>
        <v/>
      </c>
      <c r="P8" s="24">
        <f>O8*(1-IF(J8="",0,J8))</f>
        <v/>
      </c>
      <c r="Q8" s="24">
        <f>P8-K8</f>
        <v/>
      </c>
      <c r="R8" s="13">
        <f>IF(M8="Delivered",1,0)</f>
        <v/>
      </c>
    </row>
    <row r="9">
      <c r="A9" s="7" t="inlineStr">
        <is>
          <t>ORD5005</t>
        </is>
      </c>
      <c r="B9" s="21" t="n">
        <v>46208</v>
      </c>
      <c r="C9" s="7" t="inlineStr">
        <is>
          <t>C1059</t>
        </is>
      </c>
      <c r="D9" s="7" t="inlineStr">
        <is>
          <t>North</t>
        </is>
      </c>
      <c r="E9" s="7" t="inlineStr">
        <is>
          <t>Website</t>
        </is>
      </c>
      <c r="F9" s="7" t="inlineStr">
        <is>
          <t>Home &amp; Kitchen</t>
        </is>
      </c>
      <c r="G9" s="7" t="inlineStr">
        <is>
          <t>Mixer Grinder</t>
        </is>
      </c>
      <c r="H9" s="7" t="n">
        <v>3</v>
      </c>
      <c r="I9" s="22" t="n">
        <v>3299</v>
      </c>
      <c r="J9" s="23" t="n">
        <v>0.05</v>
      </c>
      <c r="K9" s="22" t="n">
        <v>5018.03</v>
      </c>
      <c r="L9" s="22" t="n">
        <v>9402.15</v>
      </c>
      <c r="M9" s="7" t="inlineStr">
        <is>
          <t>Delivered</t>
        </is>
      </c>
      <c r="N9" s="11" t="n">
        <v>3</v>
      </c>
      <c r="O9" s="24">
        <f>I9*H9</f>
        <v/>
      </c>
      <c r="P9" s="24">
        <f>O9*(1-IF(J9="",0,J9))</f>
        <v/>
      </c>
      <c r="Q9" s="24">
        <f>P9-K9</f>
        <v/>
      </c>
      <c r="R9" s="13">
        <f>IF(M9="Delivered",1,0)</f>
        <v/>
      </c>
    </row>
    <row r="10">
      <c r="A10" s="7" t="inlineStr">
        <is>
          <t>ORD5006</t>
        </is>
      </c>
      <c r="B10" s="21" t="n">
        <v>46209</v>
      </c>
      <c r="C10" s="7" t="inlineStr">
        <is>
          <t>C1044</t>
        </is>
      </c>
      <c r="D10" s="7" t="inlineStr">
        <is>
          <t>Central</t>
        </is>
      </c>
      <c r="E10" s="7" t="inlineStr">
        <is>
          <t>Mobile App</t>
        </is>
      </c>
      <c r="F10" s="7" t="inlineStr">
        <is>
          <t>Home &amp; Kitchen</t>
        </is>
      </c>
      <c r="G10" s="7" t="inlineStr">
        <is>
          <t>Bedsheet Set</t>
        </is>
      </c>
      <c r="H10" s="7" t="n">
        <v>3</v>
      </c>
      <c r="I10" s="22" t="n">
        <v>1499</v>
      </c>
      <c r="J10" s="23" t="n">
        <v>0</v>
      </c>
      <c r="K10" s="22" t="n">
        <v>2170.28</v>
      </c>
      <c r="L10" s="22" t="n">
        <v>4497</v>
      </c>
      <c r="M10" s="7" t="inlineStr">
        <is>
          <t>Delivered</t>
        </is>
      </c>
      <c r="N10" s="11" t="n">
        <v>1</v>
      </c>
      <c r="O10" s="24">
        <f>I10*H10</f>
        <v/>
      </c>
      <c r="P10" s="24">
        <f>O10*(1-IF(J10="",0,J10))</f>
        <v/>
      </c>
      <c r="Q10" s="24">
        <f>P10-K10</f>
        <v/>
      </c>
      <c r="R10" s="13">
        <f>IF(M10="Delivered",1,0)</f>
        <v/>
      </c>
    </row>
    <row r="11">
      <c r="A11" s="7" t="inlineStr">
        <is>
          <t>ORD5007</t>
        </is>
      </c>
      <c r="B11" s="21" t="n">
        <v>46210</v>
      </c>
      <c r="C11" s="7" t="inlineStr">
        <is>
          <t>C1055</t>
        </is>
      </c>
      <c r="D11" s="7" t="inlineStr">
        <is>
          <t>South</t>
        </is>
      </c>
      <c r="E11" s="7" t="inlineStr">
        <is>
          <t>Website</t>
        </is>
      </c>
      <c r="F11" s="7" t="inlineStr">
        <is>
          <t>Fashion</t>
        </is>
      </c>
      <c r="G11" s="7" t="inlineStr">
        <is>
          <t>Running Shoes</t>
        </is>
      </c>
      <c r="H11" s="7" t="n">
        <v>1</v>
      </c>
      <c r="I11" s="22" t="n">
        <v>2938.95</v>
      </c>
      <c r="J11" s="23" t="n">
        <v>0.15</v>
      </c>
      <c r="K11" s="22" t="n">
        <v>1831.63</v>
      </c>
      <c r="L11" s="22" t="n">
        <v>2498.11</v>
      </c>
      <c r="M11" s="7" t="inlineStr">
        <is>
          <t>Delivered</t>
        </is>
      </c>
      <c r="N11" s="11" t="n">
        <v>2</v>
      </c>
      <c r="O11" s="24">
        <f>I11*H11</f>
        <v/>
      </c>
      <c r="P11" s="24">
        <f>O11*(1-IF(J11="",0,J11))</f>
        <v/>
      </c>
      <c r="Q11" s="24">
        <f>P11-K11</f>
        <v/>
      </c>
      <c r="R11" s="13">
        <f>IF(M11="Delivered",1,0)</f>
        <v/>
      </c>
    </row>
    <row r="12">
      <c r="A12" s="7" t="inlineStr">
        <is>
          <t>ORD5008</t>
        </is>
      </c>
      <c r="B12" s="21" t="n">
        <v>46211</v>
      </c>
      <c r="C12" s="7" t="inlineStr">
        <is>
          <t>C1008</t>
        </is>
      </c>
      <c r="D12" s="7" t="inlineStr">
        <is>
          <t>East</t>
        </is>
      </c>
      <c r="E12" s="7" t="inlineStr">
        <is>
          <t>Website</t>
        </is>
      </c>
      <c r="F12" s="7" t="inlineStr">
        <is>
          <t>Beauty</t>
        </is>
      </c>
      <c r="G12" s="7" t="inlineStr">
        <is>
          <t>Hair Dryer</t>
        </is>
      </c>
      <c r="H12" s="7" t="n">
        <v>1</v>
      </c>
      <c r="I12" s="22" t="n">
        <v>2308.95</v>
      </c>
      <c r="J12" s="23" t="n">
        <v>0.2</v>
      </c>
      <c r="K12" s="22" t="n">
        <v>1121.78</v>
      </c>
      <c r="L12" s="22" t="n">
        <v>1847.16</v>
      </c>
      <c r="M12" s="7" t="inlineStr">
        <is>
          <t>Delivered</t>
        </is>
      </c>
      <c r="N12" s="11" t="n">
        <v>5</v>
      </c>
      <c r="O12" s="24">
        <f>I12*H12</f>
        <v/>
      </c>
      <c r="P12" s="24">
        <f>O12*(1-IF(J12="",0,J12))</f>
        <v/>
      </c>
      <c r="Q12" s="24">
        <f>P12-K12</f>
        <v/>
      </c>
      <c r="R12" s="13">
        <f>IF(M12="Delivered",1,0)</f>
        <v/>
      </c>
    </row>
    <row r="13">
      <c r="A13" s="7" t="inlineStr">
        <is>
          <t>ORD5009</t>
        </is>
      </c>
      <c r="B13" s="21" t="n">
        <v>46212</v>
      </c>
      <c r="C13" s="7" t="inlineStr">
        <is>
          <t>C1060</t>
        </is>
      </c>
      <c r="D13" s="7" t="inlineStr">
        <is>
          <t>West</t>
        </is>
      </c>
      <c r="E13" s="7" t="inlineStr">
        <is>
          <t>Mobile App</t>
        </is>
      </c>
      <c r="F13" s="7" t="inlineStr">
        <is>
          <t>Home &amp; Kitchen</t>
        </is>
      </c>
      <c r="G13" s="7" t="inlineStr">
        <is>
          <t>Mixer Grinder</t>
        </is>
      </c>
      <c r="H13" s="7" t="n">
        <v>1</v>
      </c>
      <c r="I13" s="22" t="n">
        <v>3299</v>
      </c>
      <c r="J13" s="23" t="n">
        <v>0.2</v>
      </c>
      <c r="K13" s="22" t="n">
        <v>2181.8</v>
      </c>
      <c r="L13" s="22" t="n">
        <v>2639.2</v>
      </c>
      <c r="M13" s="7" t="inlineStr">
        <is>
          <t>Delivered</t>
        </is>
      </c>
      <c r="N13" s="11" t="n">
        <v>2</v>
      </c>
      <c r="O13" s="24">
        <f>I13*H13</f>
        <v/>
      </c>
      <c r="P13" s="24">
        <f>O13*(1-IF(J13="",0,J13))</f>
        <v/>
      </c>
      <c r="Q13" s="24">
        <f>P13-K13</f>
        <v/>
      </c>
      <c r="R13" s="13">
        <f>IF(M13="Delivered",1,0)</f>
        <v/>
      </c>
    </row>
    <row r="14">
      <c r="A14" s="7" t="inlineStr">
        <is>
          <t>ORD5010</t>
        </is>
      </c>
      <c r="B14" s="21" t="n">
        <v>46213</v>
      </c>
      <c r="C14" s="7" t="inlineStr">
        <is>
          <t>C1051</t>
        </is>
      </c>
      <c r="D14" s="7" t="inlineStr">
        <is>
          <t>East</t>
        </is>
      </c>
      <c r="E14" s="7" t="inlineStr">
        <is>
          <t>Mobile App</t>
        </is>
      </c>
      <c r="F14" s="7" t="inlineStr">
        <is>
          <t>Sports</t>
        </is>
      </c>
      <c r="G14" s="7" t="inlineStr">
        <is>
          <t>Cricket Kit</t>
        </is>
      </c>
      <c r="H14" s="7" t="n">
        <v>1</v>
      </c>
      <c r="I14" s="22" t="n">
        <v>3568.98</v>
      </c>
      <c r="J14" s="23" t="n">
        <v>0.05</v>
      </c>
      <c r="K14" s="22" t="n">
        <v>2161.02</v>
      </c>
      <c r="L14" s="22" t="n">
        <v>3390.53</v>
      </c>
      <c r="M14" s="7" t="inlineStr">
        <is>
          <t>Delivered</t>
        </is>
      </c>
      <c r="N14" s="11" t="n">
        <v>5</v>
      </c>
      <c r="O14" s="24">
        <f>I14*H14</f>
        <v/>
      </c>
      <c r="P14" s="24">
        <f>O14*(1-IF(J14="",0,J14))</f>
        <v/>
      </c>
      <c r="Q14" s="24">
        <f>P14-K14</f>
        <v/>
      </c>
      <c r="R14" s="13">
        <f>IF(M14="Delivered",1,0)</f>
        <v/>
      </c>
    </row>
    <row r="15">
      <c r="A15" s="7" t="inlineStr">
        <is>
          <t>ORD5011</t>
        </is>
      </c>
      <c r="B15" s="21" t="n">
        <v>46214</v>
      </c>
      <c r="C15" s="7" t="inlineStr">
        <is>
          <t>C1050</t>
        </is>
      </c>
      <c r="D15" s="7" t="inlineStr">
        <is>
          <t>North</t>
        </is>
      </c>
      <c r="E15" s="7" t="inlineStr">
        <is>
          <t>Website</t>
        </is>
      </c>
      <c r="F15" s="7" t="inlineStr">
        <is>
          <t>Electronics</t>
        </is>
      </c>
      <c r="G15" s="7" t="inlineStr">
        <is>
          <t>Wireless Earbuds</t>
        </is>
      </c>
      <c r="H15" s="7" t="n">
        <v>2</v>
      </c>
      <c r="I15" s="22" t="n">
        <v>2548.98</v>
      </c>
      <c r="J15" s="23" t="n">
        <v>0</v>
      </c>
      <c r="K15" s="22" t="n">
        <v>3719.79</v>
      </c>
      <c r="L15" s="22" t="n">
        <v>5097.96</v>
      </c>
      <c r="M15" s="7" t="inlineStr">
        <is>
          <t>Delivered</t>
        </is>
      </c>
      <c r="N15" s="11" t="n">
        <v>5</v>
      </c>
      <c r="O15" s="24">
        <f>I15*H15</f>
        <v/>
      </c>
      <c r="P15" s="24">
        <f>O15*(1-IF(J15="",0,J15))</f>
        <v/>
      </c>
      <c r="Q15" s="24">
        <f>P15-K15</f>
        <v/>
      </c>
      <c r="R15" s="13">
        <f>IF(M15="Delivered",1,0)</f>
        <v/>
      </c>
    </row>
    <row r="16">
      <c r="A16" s="7" t="inlineStr">
        <is>
          <t>ORD5012</t>
        </is>
      </c>
      <c r="B16" s="21" t="n">
        <v>46215</v>
      </c>
      <c r="C16" s="7" t="inlineStr">
        <is>
          <t>C1020</t>
        </is>
      </c>
      <c r="D16" s="7" t="inlineStr">
        <is>
          <t>North</t>
        </is>
      </c>
      <c r="E16" s="7" t="inlineStr">
        <is>
          <t>Mobile App</t>
        </is>
      </c>
      <c r="F16" s="7" t="inlineStr">
        <is>
          <t>Sports</t>
        </is>
      </c>
      <c r="G16" s="7" t="inlineStr">
        <is>
          <t>Yoga Mat</t>
        </is>
      </c>
      <c r="H16" s="7" t="n">
        <v>3</v>
      </c>
      <c r="I16" s="22" t="n">
        <v>943.95</v>
      </c>
      <c r="J16" s="23" t="n">
        <v>0</v>
      </c>
      <c r="K16" s="22" t="n">
        <v>1561.04</v>
      </c>
      <c r="L16" s="22" t="n">
        <v>2831.85</v>
      </c>
      <c r="M16" s="7" t="inlineStr">
        <is>
          <t>Delivered</t>
        </is>
      </c>
      <c r="N16" s="11" t="n">
        <v>3</v>
      </c>
      <c r="O16" s="24">
        <f>I16*H16</f>
        <v/>
      </c>
      <c r="P16" s="24">
        <f>O16*(1-IF(J16="",0,J16))</f>
        <v/>
      </c>
      <c r="Q16" s="24">
        <f>P16-K16</f>
        <v/>
      </c>
      <c r="R16" s="13">
        <f>IF(M16="Delivered",1,0)</f>
        <v/>
      </c>
    </row>
    <row r="17">
      <c r="A17" s="7" t="inlineStr">
        <is>
          <t>ORD5013</t>
        </is>
      </c>
      <c r="B17" s="21" t="n">
        <v>46216</v>
      </c>
      <c r="C17" s="7" t="inlineStr">
        <is>
          <t>C1039</t>
        </is>
      </c>
      <c r="D17" s="7" t="inlineStr">
        <is>
          <t>North</t>
        </is>
      </c>
      <c r="E17" s="7" t="inlineStr">
        <is>
          <t>Website</t>
        </is>
      </c>
      <c r="F17" s="7" t="inlineStr">
        <is>
          <t>Fashion</t>
        </is>
      </c>
      <c r="G17" s="7" t="inlineStr">
        <is>
          <t>Casual Shirt</t>
        </is>
      </c>
      <c r="H17" s="7" t="n">
        <v>1</v>
      </c>
      <c r="I17" s="22" t="n">
        <v>1324.98</v>
      </c>
      <c r="J17" s="23" t="n">
        <v>0.1</v>
      </c>
      <c r="K17" s="22" t="n">
        <v>718.52</v>
      </c>
      <c r="L17" s="22" t="n">
        <v>1192.48</v>
      </c>
      <c r="M17" s="7" t="inlineStr">
        <is>
          <t>Delivered</t>
        </is>
      </c>
      <c r="N17" s="11" t="n">
        <v>1</v>
      </c>
      <c r="O17" s="24">
        <f>I17*H17</f>
        <v/>
      </c>
      <c r="P17" s="24">
        <f>O17*(1-IF(J17="",0,J17))</f>
        <v/>
      </c>
      <c r="Q17" s="24">
        <f>P17-K17</f>
        <v/>
      </c>
      <c r="R17" s="13">
        <f>IF(M17="Delivered",1,0)</f>
        <v/>
      </c>
    </row>
    <row r="18">
      <c r="A18" s="7" t="inlineStr">
        <is>
          <t>ORD5014</t>
        </is>
      </c>
      <c r="B18" s="21" t="n">
        <v>46217</v>
      </c>
      <c r="C18" s="7" t="inlineStr">
        <is>
          <t>C1053</t>
        </is>
      </c>
      <c r="D18" s="7" t="inlineStr">
        <is>
          <t>South</t>
        </is>
      </c>
      <c r="E18" s="7" t="inlineStr">
        <is>
          <t>Mobile App</t>
        </is>
      </c>
      <c r="F18" s="7" t="inlineStr">
        <is>
          <t>Home &amp; Kitchen</t>
        </is>
      </c>
      <c r="G18" s="7" t="inlineStr">
        <is>
          <t>Bedsheet Set</t>
        </is>
      </c>
      <c r="H18" s="7" t="n">
        <v>2</v>
      </c>
      <c r="I18" s="22" t="n">
        <v>1499</v>
      </c>
      <c r="J18" s="23" t="n">
        <v>0</v>
      </c>
      <c r="K18" s="22" t="n">
        <v>1509.51</v>
      </c>
      <c r="L18" s="22" t="n">
        <v>2998</v>
      </c>
      <c r="M18" s="7" t="inlineStr">
        <is>
          <t>Delivered</t>
        </is>
      </c>
      <c r="N18" s="11" t="n">
        <v>1</v>
      </c>
      <c r="O18" s="24">
        <f>I18*H18</f>
        <v/>
      </c>
      <c r="P18" s="24">
        <f>O18*(1-IF(J18="",0,J18))</f>
        <v/>
      </c>
      <c r="Q18" s="24">
        <f>P18-K18</f>
        <v/>
      </c>
      <c r="R18" s="13">
        <f>IF(M18="Delivered",1,0)</f>
        <v/>
      </c>
    </row>
    <row r="19">
      <c r="A19" s="7" t="inlineStr">
        <is>
          <t>ORD5015</t>
        </is>
      </c>
      <c r="B19" s="21" t="n">
        <v>46218</v>
      </c>
      <c r="C19" s="7" t="inlineStr">
        <is>
          <t>C1018</t>
        </is>
      </c>
      <c r="D19" s="7" t="inlineStr">
        <is>
          <t>North</t>
        </is>
      </c>
      <c r="E19" s="7" t="inlineStr">
        <is>
          <t>Marketplace</t>
        </is>
      </c>
      <c r="F19" s="7" t="inlineStr">
        <is>
          <t>Home &amp; Kitchen</t>
        </is>
      </c>
      <c r="G19" s="7" t="inlineStr">
        <is>
          <t>Bedsheet Set</t>
        </is>
      </c>
      <c r="H19" s="7" t="n">
        <v>2</v>
      </c>
      <c r="I19" s="22" t="n">
        <v>1454.03</v>
      </c>
      <c r="J19" s="23" t="n">
        <v>0.05</v>
      </c>
      <c r="K19" s="22" t="n">
        <v>1678.64</v>
      </c>
      <c r="L19" s="22" t="n">
        <v>2762.66</v>
      </c>
      <c r="M19" s="7" t="inlineStr">
        <is>
          <t>Delivered</t>
        </is>
      </c>
      <c r="N19" s="11" t="n">
        <v>4</v>
      </c>
      <c r="O19" s="24">
        <f>I19*H19</f>
        <v/>
      </c>
      <c r="P19" s="24">
        <f>O19*(1-IF(J19="",0,J19))</f>
        <v/>
      </c>
      <c r="Q19" s="24">
        <f>P19-K19</f>
        <v/>
      </c>
      <c r="R19" s="13">
        <f>IF(M19="Delivered",1,0)</f>
        <v/>
      </c>
    </row>
    <row r="20">
      <c r="A20" s="7" t="inlineStr">
        <is>
          <t>ORD5016</t>
        </is>
      </c>
      <c r="B20" s="21" t="n">
        <v>46219</v>
      </c>
      <c r="C20" s="7" t="inlineStr">
        <is>
          <t>C1027</t>
        </is>
      </c>
      <c r="D20" s="7" t="inlineStr">
        <is>
          <t>Central</t>
        </is>
      </c>
      <c r="E20" s="7" t="inlineStr">
        <is>
          <t>Marketplace</t>
        </is>
      </c>
      <c r="F20" s="7" t="inlineStr">
        <is>
          <t>Fashion</t>
        </is>
      </c>
      <c r="G20" s="7" t="inlineStr">
        <is>
          <t>Casual Shirt</t>
        </is>
      </c>
      <c r="H20" s="7" t="n">
        <v>3</v>
      </c>
      <c r="I20" s="22" t="n">
        <v>1260.03</v>
      </c>
      <c r="J20" s="23" t="n">
        <v>0.1</v>
      </c>
      <c r="K20" s="22" t="n">
        <v>2506.73</v>
      </c>
      <c r="L20" s="22" t="n">
        <v>3402.08</v>
      </c>
      <c r="M20" s="7" t="inlineStr">
        <is>
          <t>Delivered</t>
        </is>
      </c>
      <c r="N20" s="11" t="n">
        <v>2</v>
      </c>
      <c r="O20" s="24">
        <f>I20*H20</f>
        <v/>
      </c>
      <c r="P20" s="24">
        <f>O20*(1-IF(J20="",0,J20))</f>
        <v/>
      </c>
      <c r="Q20" s="24">
        <f>P20-K20</f>
        <v/>
      </c>
      <c r="R20" s="13">
        <f>IF(M20="Delivered",1,0)</f>
        <v/>
      </c>
    </row>
    <row r="21">
      <c r="A21" s="7" t="inlineStr">
        <is>
          <t>ORD5017</t>
        </is>
      </c>
      <c r="B21" s="21" t="n">
        <v>46220</v>
      </c>
      <c r="C21" s="14" t="n"/>
      <c r="D21" s="7" t="inlineStr">
        <is>
          <t>North</t>
        </is>
      </c>
      <c r="E21" s="7" t="inlineStr">
        <is>
          <t>Marketplace</t>
        </is>
      </c>
      <c r="F21" s="7" t="inlineStr">
        <is>
          <t>Beauty</t>
        </is>
      </c>
      <c r="G21" s="7" t="inlineStr">
        <is>
          <t>Hair Dryer</t>
        </is>
      </c>
      <c r="H21" s="7" t="n">
        <v>1</v>
      </c>
      <c r="I21" s="22" t="n">
        <v>2133.03</v>
      </c>
      <c r="J21" s="23" t="n">
        <v>0.2</v>
      </c>
      <c r="K21" s="22" t="n">
        <v>1479.04</v>
      </c>
      <c r="L21" s="22" t="n">
        <v>1706.42</v>
      </c>
      <c r="M21" s="7" t="inlineStr">
        <is>
          <t>Cancelled</t>
        </is>
      </c>
      <c r="N21" s="15" t="n"/>
      <c r="O21" s="24">
        <f>I21*H21</f>
        <v/>
      </c>
      <c r="P21" s="24">
        <f>O21*(1-IF(J21="",0,J21))</f>
        <v/>
      </c>
      <c r="Q21" s="24">
        <f>P21-K21</f>
        <v/>
      </c>
      <c r="R21" s="13">
        <f>IF(M21="Delivered",1,0)</f>
        <v/>
      </c>
    </row>
    <row r="22">
      <c r="A22" s="7" t="inlineStr">
        <is>
          <t>ORD5018</t>
        </is>
      </c>
      <c r="B22" s="21" t="n">
        <v>46221</v>
      </c>
      <c r="C22" s="7" t="inlineStr">
        <is>
          <t>C1008</t>
        </is>
      </c>
      <c r="D22" s="7" t="inlineStr">
        <is>
          <t>South</t>
        </is>
      </c>
      <c r="E22" s="7" t="inlineStr">
        <is>
          <t>Website</t>
        </is>
      </c>
      <c r="F22" s="7" t="inlineStr">
        <is>
          <t>Fashion</t>
        </is>
      </c>
      <c r="G22" s="7" t="inlineStr">
        <is>
          <t>Running Shoes</t>
        </is>
      </c>
      <c r="H22" s="7" t="n">
        <v>1</v>
      </c>
      <c r="I22" s="22" t="n">
        <v>2715.03</v>
      </c>
      <c r="J22" s="23" t="n">
        <v>0.1</v>
      </c>
      <c r="K22" s="22" t="n">
        <v>1659.41</v>
      </c>
      <c r="L22" s="22" t="n">
        <v>2443.53</v>
      </c>
      <c r="M22" s="7" t="inlineStr">
        <is>
          <t>Delivered</t>
        </is>
      </c>
      <c r="N22" s="11" t="n">
        <v>3</v>
      </c>
      <c r="O22" s="24">
        <f>I22*H22</f>
        <v/>
      </c>
      <c r="P22" s="24">
        <f>O22*(1-IF(J22="",0,J22))</f>
        <v/>
      </c>
      <c r="Q22" s="24">
        <f>P22-K22</f>
        <v/>
      </c>
      <c r="R22" s="13">
        <f>IF(M22="Delivered",1,0)</f>
        <v/>
      </c>
    </row>
    <row r="23">
      <c r="A23" s="7" t="inlineStr">
        <is>
          <t>ORD5019</t>
        </is>
      </c>
      <c r="B23" s="21" t="n">
        <v>46222</v>
      </c>
      <c r="C23" s="7" t="inlineStr">
        <is>
          <t>C1025</t>
        </is>
      </c>
      <c r="D23" s="7" t="inlineStr">
        <is>
          <t>Central</t>
        </is>
      </c>
      <c r="E23" s="7" t="inlineStr">
        <is>
          <t>Mobile App</t>
        </is>
      </c>
      <c r="F23" s="7" t="inlineStr">
        <is>
          <t>Fashion</t>
        </is>
      </c>
      <c r="G23" s="7" t="inlineStr">
        <is>
          <t>Backpack</t>
        </is>
      </c>
      <c r="H23" s="7" t="n">
        <v>1</v>
      </c>
      <c r="I23" s="22" t="n">
        <v>1842.03</v>
      </c>
      <c r="J23" s="23" t="n">
        <v>0.1</v>
      </c>
      <c r="K23" s="22" t="n">
        <v>915.08</v>
      </c>
      <c r="L23" s="22" t="n">
        <v>1657.83</v>
      </c>
      <c r="M23" s="7" t="inlineStr">
        <is>
          <t>Delivered</t>
        </is>
      </c>
      <c r="N23" s="11" t="n">
        <v>2</v>
      </c>
      <c r="O23" s="24">
        <f>I23*H23</f>
        <v/>
      </c>
      <c r="P23" s="24">
        <f>O23*(1-IF(J23="",0,J23))</f>
        <v/>
      </c>
      <c r="Q23" s="24">
        <f>P23-K23</f>
        <v/>
      </c>
      <c r="R23" s="13">
        <f>IF(M23="Delivered",1,0)</f>
        <v/>
      </c>
    </row>
    <row r="24">
      <c r="A24" s="7" t="inlineStr">
        <is>
          <t>ORD5020</t>
        </is>
      </c>
      <c r="B24" s="21" t="n">
        <v>46223</v>
      </c>
      <c r="C24" s="7" t="inlineStr">
        <is>
          <t>C1045</t>
        </is>
      </c>
      <c r="D24" s="7" t="inlineStr">
        <is>
          <t>Central</t>
        </is>
      </c>
      <c r="E24" s="7" t="inlineStr">
        <is>
          <t>Website</t>
        </is>
      </c>
      <c r="F24" s="7" t="inlineStr">
        <is>
          <t>Fashion</t>
        </is>
      </c>
      <c r="G24" s="7" t="inlineStr">
        <is>
          <t>Backpack</t>
        </is>
      </c>
      <c r="H24" s="7" t="n">
        <v>3</v>
      </c>
      <c r="I24" s="22" t="n">
        <v>1993.95</v>
      </c>
      <c r="J24" s="23" t="n">
        <v>0.1</v>
      </c>
      <c r="K24" s="22" t="n">
        <v>3034.94</v>
      </c>
      <c r="L24" s="22" t="n">
        <v>5383.67</v>
      </c>
      <c r="M24" s="7" t="inlineStr">
        <is>
          <t>Returned</t>
        </is>
      </c>
      <c r="N24" s="15" t="n"/>
      <c r="O24" s="24">
        <f>I24*H24</f>
        <v/>
      </c>
      <c r="P24" s="24">
        <f>O24*(1-IF(J24="",0,J24))</f>
        <v/>
      </c>
      <c r="Q24" s="24">
        <f>P24-K24</f>
        <v/>
      </c>
      <c r="R24" s="13">
        <f>IF(M24="Delivered",1,0)</f>
        <v/>
      </c>
    </row>
    <row r="25">
      <c r="A25" s="7" t="inlineStr">
        <is>
          <t>ORD5021</t>
        </is>
      </c>
      <c r="B25" s="21" t="n">
        <v>46224</v>
      </c>
      <c r="C25" s="7" t="inlineStr">
        <is>
          <t>C1026</t>
        </is>
      </c>
      <c r="D25" s="7" t="inlineStr">
        <is>
          <t>West</t>
        </is>
      </c>
      <c r="E25" s="7" t="inlineStr">
        <is>
          <t>Website</t>
        </is>
      </c>
      <c r="F25" s="7" t="inlineStr">
        <is>
          <t>Electronics</t>
        </is>
      </c>
      <c r="G25" s="7" t="inlineStr">
        <is>
          <t>Bluetooth Speaker</t>
        </is>
      </c>
      <c r="H25" s="7" t="n">
        <v>2</v>
      </c>
      <c r="I25" s="22" t="n">
        <v>1745.03</v>
      </c>
      <c r="J25" s="23" t="n">
        <v>0.1</v>
      </c>
      <c r="K25" s="22" t="n">
        <v>1679.44</v>
      </c>
      <c r="L25" s="22" t="n">
        <v>3141.05</v>
      </c>
      <c r="M25" s="7" t="inlineStr">
        <is>
          <t>Delivered</t>
        </is>
      </c>
      <c r="N25" s="11" t="n">
        <v>5</v>
      </c>
      <c r="O25" s="24">
        <f>I25*H25</f>
        <v/>
      </c>
      <c r="P25" s="24">
        <f>O25*(1-IF(J25="",0,J25))</f>
        <v/>
      </c>
      <c r="Q25" s="24">
        <f>P25-K25</f>
        <v/>
      </c>
      <c r="R25" s="13">
        <f>IF(M25="Delivered",1,0)</f>
        <v/>
      </c>
    </row>
    <row r="26">
      <c r="A26" s="7" t="inlineStr">
        <is>
          <t>ORD5022</t>
        </is>
      </c>
      <c r="B26" s="21" t="n">
        <v>46225</v>
      </c>
      <c r="C26" s="7" t="inlineStr">
        <is>
          <t>C1039</t>
        </is>
      </c>
      <c r="D26" s="7" t="inlineStr">
        <is>
          <t>East</t>
        </is>
      </c>
      <c r="E26" s="7" t="inlineStr">
        <is>
          <t>Mobile App</t>
        </is>
      </c>
      <c r="F26" s="7" t="inlineStr">
        <is>
          <t>Home &amp; Kitchen</t>
        </is>
      </c>
      <c r="G26" s="7" t="inlineStr">
        <is>
          <t>Bedsheet Set</t>
        </is>
      </c>
      <c r="H26" s="7" t="n">
        <v>1</v>
      </c>
      <c r="I26" s="22" t="n">
        <v>1528.98</v>
      </c>
      <c r="J26" s="23" t="n">
        <v>0.05</v>
      </c>
      <c r="K26" s="22" t="n">
        <v>1123.84</v>
      </c>
      <c r="L26" s="22" t="n">
        <v>1452.53</v>
      </c>
      <c r="M26" s="7" t="inlineStr">
        <is>
          <t>Delivered</t>
        </is>
      </c>
      <c r="N26" s="11" t="n">
        <v>5</v>
      </c>
      <c r="O26" s="24">
        <f>I26*H26</f>
        <v/>
      </c>
      <c r="P26" s="24">
        <f>O26*(1-IF(J26="",0,J26))</f>
        <v/>
      </c>
      <c r="Q26" s="24">
        <f>P26-K26</f>
        <v/>
      </c>
      <c r="R26" s="13">
        <f>IF(M26="Delivered",1,0)</f>
        <v/>
      </c>
    </row>
    <row r="27">
      <c r="A27" s="7" t="inlineStr">
        <is>
          <t>ORD5023</t>
        </is>
      </c>
      <c r="B27" s="21" t="n">
        <v>46226</v>
      </c>
      <c r="C27" s="7" t="inlineStr">
        <is>
          <t>C1043</t>
        </is>
      </c>
      <c r="D27" s="7" t="inlineStr">
        <is>
          <t>North</t>
        </is>
      </c>
      <c r="E27" s="7" t="inlineStr">
        <is>
          <t>Website</t>
        </is>
      </c>
      <c r="F27" s="7" t="inlineStr">
        <is>
          <t>Beauty</t>
        </is>
      </c>
      <c r="G27" s="7" t="inlineStr">
        <is>
          <t>Hair Dryer</t>
        </is>
      </c>
      <c r="H27" s="7" t="n">
        <v>2</v>
      </c>
      <c r="I27" s="22" t="n">
        <v>2133.03</v>
      </c>
      <c r="J27" s="23" t="n">
        <v>0.15</v>
      </c>
      <c r="K27" s="22" t="n">
        <v>3194.62</v>
      </c>
      <c r="L27" s="22" t="n">
        <v>3626.15</v>
      </c>
      <c r="M27" s="7" t="inlineStr">
        <is>
          <t>Delivered</t>
        </is>
      </c>
      <c r="N27" s="11" t="n">
        <v>5</v>
      </c>
      <c r="O27" s="24">
        <f>I27*H27</f>
        <v/>
      </c>
      <c r="P27" s="24">
        <f>O27*(1-IF(J27="",0,J27))</f>
        <v/>
      </c>
      <c r="Q27" s="24">
        <f>P27-K27</f>
        <v/>
      </c>
      <c r="R27" s="13">
        <f>IF(M27="Delivered",1,0)</f>
        <v/>
      </c>
    </row>
    <row r="28">
      <c r="A28" s="7" t="inlineStr">
        <is>
          <t>ORD5024</t>
        </is>
      </c>
      <c r="B28" s="21" t="n">
        <v>46227</v>
      </c>
      <c r="C28" s="7" t="inlineStr">
        <is>
          <t>C1003</t>
        </is>
      </c>
      <c r="D28" s="7" t="inlineStr">
        <is>
          <t>East</t>
        </is>
      </c>
      <c r="E28" s="7" t="inlineStr">
        <is>
          <t>Website</t>
        </is>
      </c>
      <c r="F28" s="7" t="inlineStr">
        <is>
          <t>Electronics</t>
        </is>
      </c>
      <c r="G28" s="7" t="inlineStr">
        <is>
          <t>Wireless Earbuds</t>
        </is>
      </c>
      <c r="H28" s="7" t="n">
        <v>1</v>
      </c>
      <c r="I28" s="22" t="n">
        <v>2623.95</v>
      </c>
      <c r="J28" s="23" t="n">
        <v>0.15</v>
      </c>
      <c r="K28" s="22" t="n">
        <v>1376.51</v>
      </c>
      <c r="L28" s="22" t="n">
        <v>2230.36</v>
      </c>
      <c r="M28" s="7" t="inlineStr">
        <is>
          <t>Delivered</t>
        </is>
      </c>
      <c r="N28" s="11" t="n">
        <v>2</v>
      </c>
      <c r="O28" s="24">
        <f>I28*H28</f>
        <v/>
      </c>
      <c r="P28" s="24">
        <f>O28*(1-IF(J28="",0,J28))</f>
        <v/>
      </c>
      <c r="Q28" s="24">
        <f>P28-K28</f>
        <v/>
      </c>
      <c r="R28" s="13">
        <f>IF(M28="Delivered",1,0)</f>
        <v/>
      </c>
    </row>
    <row r="29">
      <c r="A29" s="7" t="inlineStr">
        <is>
          <t>ORD5025</t>
        </is>
      </c>
      <c r="B29" s="21" t="n">
        <v>46228</v>
      </c>
      <c r="C29" s="7" t="inlineStr">
        <is>
          <t>C1048</t>
        </is>
      </c>
      <c r="D29" s="7" t="inlineStr">
        <is>
          <t>West</t>
        </is>
      </c>
      <c r="E29" s="7" t="inlineStr">
        <is>
          <t>Mobile App</t>
        </is>
      </c>
      <c r="F29" s="7" t="inlineStr">
        <is>
          <t>Beauty</t>
        </is>
      </c>
      <c r="G29" s="7" t="inlineStr">
        <is>
          <t>Perfume</t>
        </is>
      </c>
      <c r="H29" s="7" t="n">
        <v>2</v>
      </c>
      <c r="I29" s="22" t="n">
        <v>1678.95</v>
      </c>
      <c r="J29" s="23" t="n">
        <v>0</v>
      </c>
      <c r="K29" s="22" t="n">
        <v>2125.38</v>
      </c>
      <c r="L29" s="22" t="n">
        <v>3357.9</v>
      </c>
      <c r="M29" s="7" t="inlineStr">
        <is>
          <t>Delivered</t>
        </is>
      </c>
      <c r="N29" s="11" t="n">
        <v>2</v>
      </c>
      <c r="O29" s="24">
        <f>I29*H29</f>
        <v/>
      </c>
      <c r="P29" s="24">
        <f>O29*(1-IF(J29="",0,J29))</f>
        <v/>
      </c>
      <c r="Q29" s="24">
        <f>P29-K29</f>
        <v/>
      </c>
      <c r="R29" s="13">
        <f>IF(M29="Delivered",1,0)</f>
        <v/>
      </c>
    </row>
    <row r="30">
      <c r="A30" s="7" t="inlineStr">
        <is>
          <t>ORD5026</t>
        </is>
      </c>
      <c r="B30" s="21" t="n">
        <v>46229</v>
      </c>
      <c r="C30" s="7" t="inlineStr">
        <is>
          <t>C1055</t>
        </is>
      </c>
      <c r="D30" s="7" t="inlineStr">
        <is>
          <t>East</t>
        </is>
      </c>
      <c r="E30" s="7" t="inlineStr">
        <is>
          <t>Marketplace</t>
        </is>
      </c>
      <c r="F30" s="7" t="inlineStr">
        <is>
          <t>Fashion</t>
        </is>
      </c>
      <c r="G30" s="7" t="inlineStr">
        <is>
          <t>Running Shoes</t>
        </is>
      </c>
      <c r="H30" s="7" t="n">
        <v>1</v>
      </c>
      <c r="I30" s="22" t="n">
        <v>2715.03</v>
      </c>
      <c r="J30" s="23" t="n">
        <v>0.2</v>
      </c>
      <c r="K30" s="22" t="n">
        <v>1648.05</v>
      </c>
      <c r="L30" s="22" t="n">
        <v>2172.02</v>
      </c>
      <c r="M30" s="7" t="inlineStr">
        <is>
          <t>Delivered</t>
        </is>
      </c>
      <c r="N30" s="11" t="n">
        <v>2</v>
      </c>
      <c r="O30" s="24">
        <f>I30*H30</f>
        <v/>
      </c>
      <c r="P30" s="24">
        <f>O30*(1-IF(J30="",0,J30))</f>
        <v/>
      </c>
      <c r="Q30" s="24">
        <f>P30-K30</f>
        <v/>
      </c>
      <c r="R30" s="13">
        <f>IF(M30="Delivered",1,0)</f>
        <v/>
      </c>
    </row>
    <row r="31">
      <c r="A31" s="7" t="inlineStr">
        <is>
          <t>ORD5027</t>
        </is>
      </c>
      <c r="B31" s="21" t="n">
        <v>46230</v>
      </c>
      <c r="C31" s="7" t="inlineStr">
        <is>
          <t>C1013</t>
        </is>
      </c>
      <c r="D31" s="7" t="inlineStr">
        <is>
          <t>South</t>
        </is>
      </c>
      <c r="E31" s="7" t="inlineStr">
        <is>
          <t>Website</t>
        </is>
      </c>
      <c r="F31" s="7" t="inlineStr">
        <is>
          <t>Home &amp; Kitchen</t>
        </is>
      </c>
      <c r="G31" s="7" t="inlineStr">
        <is>
          <t>Bedsheet Set</t>
        </is>
      </c>
      <c r="H31" s="7" t="n">
        <v>3</v>
      </c>
      <c r="I31" s="22" t="n">
        <v>1528.98</v>
      </c>
      <c r="J31" s="23" t="n">
        <v>0.2</v>
      </c>
      <c r="K31" s="22" t="n">
        <v>3331.99</v>
      </c>
      <c r="L31" s="22" t="n">
        <v>3669.55</v>
      </c>
      <c r="M31" s="7" t="inlineStr">
        <is>
          <t>Delivered</t>
        </is>
      </c>
      <c r="N31" s="11" t="n">
        <v>2</v>
      </c>
      <c r="O31" s="24">
        <f>I31*H31</f>
        <v/>
      </c>
      <c r="P31" s="24">
        <f>O31*(1-IF(J31="",0,J31))</f>
        <v/>
      </c>
      <c r="Q31" s="24">
        <f>P31-K31</f>
        <v/>
      </c>
      <c r="R31" s="13">
        <f>IF(M31="Delivered",1,0)</f>
        <v/>
      </c>
    </row>
    <row r="32">
      <c r="A32" s="7" t="inlineStr">
        <is>
          <t>ORD5028</t>
        </is>
      </c>
      <c r="B32" s="21" t="n">
        <v>46231</v>
      </c>
      <c r="C32" s="7" t="inlineStr">
        <is>
          <t>C1050</t>
        </is>
      </c>
      <c r="D32" s="7" t="inlineStr">
        <is>
          <t>West</t>
        </is>
      </c>
      <c r="E32" s="7" t="inlineStr">
        <is>
          <t>Marketplace</t>
        </is>
      </c>
      <c r="F32" s="7" t="inlineStr">
        <is>
          <t>Sports</t>
        </is>
      </c>
      <c r="G32" s="7" t="inlineStr">
        <is>
          <t>Cricket Kit</t>
        </is>
      </c>
      <c r="H32" s="7" t="n">
        <v>2</v>
      </c>
      <c r="I32" s="22" t="n">
        <v>3568.98</v>
      </c>
      <c r="J32" s="23" t="n">
        <v>0.15</v>
      </c>
      <c r="K32" s="22" t="n">
        <v>4880.89</v>
      </c>
      <c r="L32" s="22" t="n">
        <v>6067.27</v>
      </c>
      <c r="M32" s="7" t="inlineStr">
        <is>
          <t>Delivered</t>
        </is>
      </c>
      <c r="N32" s="11" t="n">
        <v>3</v>
      </c>
      <c r="O32" s="24">
        <f>I32*H32</f>
        <v/>
      </c>
      <c r="P32" s="24">
        <f>O32*(1-IF(J32="",0,J32))</f>
        <v/>
      </c>
      <c r="Q32" s="24">
        <f>P32-K32</f>
        <v/>
      </c>
      <c r="R32" s="13">
        <f>IF(M32="Delivered",1,0)</f>
        <v/>
      </c>
    </row>
    <row r="33">
      <c r="A33" s="7" t="inlineStr">
        <is>
          <t>ORD5029</t>
        </is>
      </c>
      <c r="B33" s="21" t="n">
        <v>46204</v>
      </c>
      <c r="C33" s="7" t="inlineStr">
        <is>
          <t>C1002</t>
        </is>
      </c>
      <c r="D33" s="7" t="inlineStr">
        <is>
          <t>South</t>
        </is>
      </c>
      <c r="E33" s="7" t="inlineStr">
        <is>
          <t>Marketplace</t>
        </is>
      </c>
      <c r="F33" s="7" t="inlineStr">
        <is>
          <t>Beauty</t>
        </is>
      </c>
      <c r="G33" s="7" t="inlineStr">
        <is>
          <t>Hair Dryer</t>
        </is>
      </c>
      <c r="H33" s="7" t="n">
        <v>1</v>
      </c>
      <c r="I33" s="22" t="n">
        <v>2199</v>
      </c>
      <c r="J33" s="23" t="n">
        <v>0.1</v>
      </c>
      <c r="K33" s="22" t="n">
        <v>1242.3</v>
      </c>
      <c r="L33" s="22" t="n">
        <v>1979.1</v>
      </c>
      <c r="M33" s="7" t="inlineStr">
        <is>
          <t>Delivered</t>
        </is>
      </c>
      <c r="N33" s="11" t="n">
        <v>1</v>
      </c>
      <c r="O33" s="24">
        <f>I33*H33</f>
        <v/>
      </c>
      <c r="P33" s="24">
        <f>O33*(1-IF(J33="",0,J33))</f>
        <v/>
      </c>
      <c r="Q33" s="24">
        <f>P33-K33</f>
        <v/>
      </c>
      <c r="R33" s="13">
        <f>IF(M33="Delivered",1,0)</f>
        <v/>
      </c>
    </row>
    <row r="34">
      <c r="A34" s="7" t="inlineStr">
        <is>
          <t>ORD5030</t>
        </is>
      </c>
      <c r="B34" s="21" t="n">
        <v>46205</v>
      </c>
      <c r="C34" s="7" t="inlineStr">
        <is>
          <t>C1025</t>
        </is>
      </c>
      <c r="D34" s="7" t="inlineStr">
        <is>
          <t>Central</t>
        </is>
      </c>
      <c r="E34" s="7" t="inlineStr">
        <is>
          <t>Website</t>
        </is>
      </c>
      <c r="F34" s="7" t="inlineStr">
        <is>
          <t>Beauty</t>
        </is>
      </c>
      <c r="G34" s="7" t="inlineStr">
        <is>
          <t>Skin Care Kit</t>
        </is>
      </c>
      <c r="H34" s="7" t="n">
        <v>1</v>
      </c>
      <c r="I34" s="22" t="n">
        <v>1018.98</v>
      </c>
      <c r="J34" s="23" t="n">
        <v>0.2</v>
      </c>
      <c r="K34" s="22" t="n">
        <v>499.65</v>
      </c>
      <c r="L34" s="22" t="n">
        <v>815.1799999999999</v>
      </c>
      <c r="M34" s="7" t="inlineStr">
        <is>
          <t>Delivered</t>
        </is>
      </c>
      <c r="N34" s="11" t="n">
        <v>3</v>
      </c>
      <c r="O34" s="24">
        <f>I34*H34</f>
        <v/>
      </c>
      <c r="P34" s="24">
        <f>O34*(1-IF(J34="",0,J34))</f>
        <v/>
      </c>
      <c r="Q34" s="24">
        <f>P34-K34</f>
        <v/>
      </c>
      <c r="R34" s="13">
        <f>IF(M34="Delivered",1,0)</f>
        <v/>
      </c>
    </row>
    <row r="35">
      <c r="A35" s="7" t="inlineStr">
        <is>
          <t>ORD5031</t>
        </is>
      </c>
      <c r="B35" s="21" t="n">
        <v>46206</v>
      </c>
      <c r="C35" s="7" t="inlineStr">
        <is>
          <t>C1033</t>
        </is>
      </c>
      <c r="D35" s="7" t="inlineStr">
        <is>
          <t>Central</t>
        </is>
      </c>
      <c r="E35" s="7" t="inlineStr">
        <is>
          <t>Marketplace</t>
        </is>
      </c>
      <c r="F35" s="7" t="inlineStr">
        <is>
          <t>Sports</t>
        </is>
      </c>
      <c r="G35" s="7" t="inlineStr">
        <is>
          <t>Yoga Mat</t>
        </is>
      </c>
      <c r="H35" s="7" t="n">
        <v>2</v>
      </c>
      <c r="I35" s="22" t="n">
        <v>943.95</v>
      </c>
      <c r="J35" s="23" t="n">
        <v>0.1</v>
      </c>
      <c r="K35" s="22" t="n">
        <v>1178.23</v>
      </c>
      <c r="L35" s="22" t="n">
        <v>1699.11</v>
      </c>
      <c r="M35" s="7" t="inlineStr">
        <is>
          <t>Delivered</t>
        </is>
      </c>
      <c r="N35" s="11" t="n">
        <v>1</v>
      </c>
      <c r="O35" s="24">
        <f>I35*H35</f>
        <v/>
      </c>
      <c r="P35" s="24">
        <f>O35*(1-IF(J35="",0,J35))</f>
        <v/>
      </c>
      <c r="Q35" s="24">
        <f>P35-K35</f>
        <v/>
      </c>
      <c r="R35" s="13">
        <f>IF(M35="Delivered",1,0)</f>
        <v/>
      </c>
    </row>
    <row r="36">
      <c r="A36" s="7" t="inlineStr">
        <is>
          <t>ORD5032</t>
        </is>
      </c>
      <c r="B36" s="21" t="n">
        <v>46207</v>
      </c>
      <c r="C36" s="7" t="inlineStr">
        <is>
          <t>C1034</t>
        </is>
      </c>
      <c r="D36" s="7" t="inlineStr">
        <is>
          <t>West</t>
        </is>
      </c>
      <c r="E36" s="7" t="inlineStr">
        <is>
          <t>Website</t>
        </is>
      </c>
      <c r="F36" s="7" t="inlineStr">
        <is>
          <t>Home &amp; Kitchen</t>
        </is>
      </c>
      <c r="G36" s="7" t="inlineStr">
        <is>
          <t>Air Fryer</t>
        </is>
      </c>
      <c r="H36" s="7" t="n">
        <v>2</v>
      </c>
      <c r="I36" s="22" t="n">
        <v>5499</v>
      </c>
      <c r="J36" s="23" t="n">
        <v>0</v>
      </c>
      <c r="K36" s="22" t="n">
        <v>5695.91</v>
      </c>
      <c r="L36" s="22" t="n">
        <v>10998</v>
      </c>
      <c r="M36" s="7" t="inlineStr">
        <is>
          <t>Returned</t>
        </is>
      </c>
      <c r="N36" s="15" t="n"/>
      <c r="O36" s="24">
        <f>I36*H36</f>
        <v/>
      </c>
      <c r="P36" s="24">
        <f>O36*(1-IF(J36="",0,J36))</f>
        <v/>
      </c>
      <c r="Q36" s="24">
        <f>P36-K36</f>
        <v/>
      </c>
      <c r="R36" s="13">
        <f>IF(M36="Delivered",1,0)</f>
        <v/>
      </c>
    </row>
    <row r="37">
      <c r="A37" s="7" t="inlineStr">
        <is>
          <t>ORD5033</t>
        </is>
      </c>
      <c r="B37" s="21" t="n">
        <v>46208</v>
      </c>
      <c r="C37" s="7" t="inlineStr">
        <is>
          <t>C1008</t>
        </is>
      </c>
      <c r="D37" s="14" t="n"/>
      <c r="E37" s="7" t="inlineStr">
        <is>
          <t>Mobile App</t>
        </is>
      </c>
      <c r="F37" s="7" t="inlineStr">
        <is>
          <t>Fashion</t>
        </is>
      </c>
      <c r="G37" s="7" t="inlineStr">
        <is>
          <t>Casual Shirt</t>
        </is>
      </c>
      <c r="H37" s="7" t="n">
        <v>1</v>
      </c>
      <c r="I37" s="22" t="n">
        <v>1299</v>
      </c>
      <c r="J37" s="23" t="n">
        <v>0.2</v>
      </c>
      <c r="K37" s="22" t="n">
        <v>835.49</v>
      </c>
      <c r="L37" s="22" t="n">
        <v>1039.2</v>
      </c>
      <c r="M37" s="7" t="inlineStr">
        <is>
          <t>Delivered</t>
        </is>
      </c>
      <c r="N37" s="11" t="n">
        <v>2</v>
      </c>
      <c r="O37" s="24">
        <f>I37*H37</f>
        <v/>
      </c>
      <c r="P37" s="24">
        <f>O37*(1-IF(J37="",0,J37))</f>
        <v/>
      </c>
      <c r="Q37" s="24">
        <f>P37-K37</f>
        <v/>
      </c>
      <c r="R37" s="13">
        <f>IF(M37="Delivered",1,0)</f>
        <v/>
      </c>
    </row>
    <row r="38">
      <c r="A38" s="7" t="inlineStr">
        <is>
          <t>ORD5034</t>
        </is>
      </c>
      <c r="B38" s="21" t="n">
        <v>46209</v>
      </c>
      <c r="C38" s="7" t="inlineStr">
        <is>
          <t>C1035</t>
        </is>
      </c>
      <c r="D38" s="7" t="inlineStr">
        <is>
          <t>North</t>
        </is>
      </c>
      <c r="E38" s="7" t="inlineStr">
        <is>
          <t>Mobile App</t>
        </is>
      </c>
      <c r="F38" s="7" t="inlineStr">
        <is>
          <t>Fashion</t>
        </is>
      </c>
      <c r="G38" s="7" t="inlineStr">
        <is>
          <t>Backpack</t>
        </is>
      </c>
      <c r="H38" s="7" t="n">
        <v>2</v>
      </c>
      <c r="I38" s="22" t="n">
        <v>1936.98</v>
      </c>
      <c r="J38" s="23" t="n">
        <v>0</v>
      </c>
      <c r="K38" s="22" t="n">
        <v>2855.06</v>
      </c>
      <c r="L38" s="22" t="n">
        <v>3873.96</v>
      </c>
      <c r="M38" s="7" t="inlineStr">
        <is>
          <t>Returned</t>
        </is>
      </c>
      <c r="N38" s="15" t="n"/>
      <c r="O38" s="24">
        <f>I38*H38</f>
        <v/>
      </c>
      <c r="P38" s="24">
        <f>O38*(1-IF(J38="",0,J38))</f>
        <v/>
      </c>
      <c r="Q38" s="24">
        <f>P38-K38</f>
        <v/>
      </c>
      <c r="R38" s="13">
        <f>IF(M38="Delivered",1,0)</f>
        <v/>
      </c>
    </row>
    <row r="39">
      <c r="A39" s="7" t="inlineStr">
        <is>
          <t>ORD5035</t>
        </is>
      </c>
      <c r="B39" s="21" t="n">
        <v>46210</v>
      </c>
      <c r="C39" s="7" t="inlineStr">
        <is>
          <t>C1030</t>
        </is>
      </c>
      <c r="D39" s="7" t="inlineStr">
        <is>
          <t>East</t>
        </is>
      </c>
      <c r="E39" s="7" t="inlineStr">
        <is>
          <t>Website</t>
        </is>
      </c>
      <c r="F39" s="7" t="inlineStr">
        <is>
          <t>Sports</t>
        </is>
      </c>
      <c r="G39" s="7" t="inlineStr">
        <is>
          <t>Yoga Mat</t>
        </is>
      </c>
      <c r="H39" s="7" t="n">
        <v>1</v>
      </c>
      <c r="I39" s="22" t="n">
        <v>899</v>
      </c>
      <c r="J39" s="23" t="n">
        <v>0.05</v>
      </c>
      <c r="K39" s="22" t="n">
        <v>488.85</v>
      </c>
      <c r="L39" s="22" t="n">
        <v>854.05</v>
      </c>
      <c r="M39" s="7" t="inlineStr">
        <is>
          <t>Delivered</t>
        </is>
      </c>
      <c r="N39" s="11" t="n">
        <v>3</v>
      </c>
      <c r="O39" s="24">
        <f>I39*H39</f>
        <v/>
      </c>
      <c r="P39" s="24">
        <f>O39*(1-IF(J39="",0,J39))</f>
        <v/>
      </c>
      <c r="Q39" s="24">
        <f>P39-K39</f>
        <v/>
      </c>
      <c r="R39" s="13">
        <f>IF(M39="Delivered",1,0)</f>
        <v/>
      </c>
    </row>
    <row r="40">
      <c r="A40" s="7" t="inlineStr">
        <is>
          <t>ORD5036</t>
        </is>
      </c>
      <c r="B40" s="21" t="n">
        <v>46211</v>
      </c>
      <c r="C40" s="7" t="inlineStr">
        <is>
          <t>C1037</t>
        </is>
      </c>
      <c r="D40" s="7" t="inlineStr">
        <is>
          <t>South</t>
        </is>
      </c>
      <c r="E40" s="7" t="inlineStr">
        <is>
          <t>Website</t>
        </is>
      </c>
      <c r="F40" s="7" t="inlineStr">
        <is>
          <t>Fashion</t>
        </is>
      </c>
      <c r="G40" s="7" t="inlineStr">
        <is>
          <t>Running Shoes</t>
        </is>
      </c>
      <c r="H40" s="7" t="n">
        <v>1</v>
      </c>
      <c r="I40" s="22" t="n">
        <v>2854.98</v>
      </c>
      <c r="J40" s="23" t="n">
        <v>0</v>
      </c>
      <c r="K40" s="22" t="n">
        <v>1784.64</v>
      </c>
      <c r="L40" s="22" t="n">
        <v>2854.98</v>
      </c>
      <c r="M40" s="7" t="inlineStr">
        <is>
          <t>Delivered</t>
        </is>
      </c>
      <c r="N40" s="11" t="n">
        <v>3</v>
      </c>
      <c r="O40" s="24">
        <f>I40*H40</f>
        <v/>
      </c>
      <c r="P40" s="24">
        <f>O40*(1-IF(J40="",0,J40))</f>
        <v/>
      </c>
      <c r="Q40" s="24">
        <f>P40-K40</f>
        <v/>
      </c>
      <c r="R40" s="13">
        <f>IF(M40="Delivered",1,0)</f>
        <v/>
      </c>
    </row>
    <row r="41">
      <c r="A41" s="7" t="inlineStr">
        <is>
          <t>ORD5037</t>
        </is>
      </c>
      <c r="B41" s="21" t="n">
        <v>46212</v>
      </c>
      <c r="C41" s="7" t="inlineStr">
        <is>
          <t>C1009</t>
        </is>
      </c>
      <c r="D41" s="7" t="inlineStr">
        <is>
          <t>North</t>
        </is>
      </c>
      <c r="E41" s="7" t="inlineStr">
        <is>
          <t>Website</t>
        </is>
      </c>
      <c r="F41" s="7" t="inlineStr">
        <is>
          <t>Home &amp; Kitchen</t>
        </is>
      </c>
      <c r="G41" s="7" t="inlineStr">
        <is>
          <t>Air Fryer</t>
        </is>
      </c>
      <c r="H41" s="7" t="n">
        <v>1</v>
      </c>
      <c r="I41" s="22" t="n">
        <v>5773.95</v>
      </c>
      <c r="J41" s="23" t="n">
        <v>0.05</v>
      </c>
      <c r="K41" s="22" t="n">
        <v>3072.82</v>
      </c>
      <c r="L41" s="22" t="n">
        <v>5485.25</v>
      </c>
      <c r="M41" s="7" t="inlineStr">
        <is>
          <t>Delivered</t>
        </is>
      </c>
      <c r="N41" s="11" t="n">
        <v>4</v>
      </c>
      <c r="O41" s="24">
        <f>I41*H41</f>
        <v/>
      </c>
      <c r="P41" s="24">
        <f>O41*(1-IF(J41="",0,J41))</f>
        <v/>
      </c>
      <c r="Q41" s="24">
        <f>P41-K41</f>
        <v/>
      </c>
      <c r="R41" s="13">
        <f>IF(M41="Delivered",1,0)</f>
        <v/>
      </c>
    </row>
    <row r="42">
      <c r="A42" s="7" t="inlineStr">
        <is>
          <t>ORD5038</t>
        </is>
      </c>
      <c r="B42" s="21" t="n">
        <v>46213</v>
      </c>
      <c r="C42" s="7" t="inlineStr">
        <is>
          <t>C1023</t>
        </is>
      </c>
      <c r="D42" s="7" t="inlineStr">
        <is>
          <t>East</t>
        </is>
      </c>
      <c r="E42" s="7" t="inlineStr">
        <is>
          <t>Mobile App</t>
        </is>
      </c>
      <c r="F42" s="7" t="inlineStr">
        <is>
          <t>Electronics</t>
        </is>
      </c>
      <c r="G42" s="7" t="inlineStr">
        <is>
          <t>Bluetooth Speaker</t>
        </is>
      </c>
      <c r="H42" s="7" t="n">
        <v>4</v>
      </c>
      <c r="I42" s="22" t="n">
        <v>1888.95</v>
      </c>
      <c r="J42" s="23" t="n">
        <v>0.05</v>
      </c>
      <c r="K42" s="22" t="n">
        <v>5680.57</v>
      </c>
      <c r="L42" s="22" t="n">
        <v>7178.01</v>
      </c>
      <c r="M42" s="7" t="inlineStr">
        <is>
          <t>Delivered</t>
        </is>
      </c>
      <c r="N42" s="11" t="n">
        <v>4</v>
      </c>
      <c r="O42" s="24">
        <f>I42*H42</f>
        <v/>
      </c>
      <c r="P42" s="24">
        <f>O42*(1-IF(J42="",0,J42))</f>
        <v/>
      </c>
      <c r="Q42" s="24">
        <f>P42-K42</f>
        <v/>
      </c>
      <c r="R42" s="13">
        <f>IF(M42="Delivered",1,0)</f>
        <v/>
      </c>
    </row>
    <row r="43">
      <c r="A43" s="7" t="inlineStr">
        <is>
          <t>ORD5039</t>
        </is>
      </c>
      <c r="B43" s="21" t="n">
        <v>46214</v>
      </c>
      <c r="C43" s="7" t="inlineStr">
        <is>
          <t>C1038</t>
        </is>
      </c>
      <c r="D43" s="7" t="inlineStr">
        <is>
          <t>East</t>
        </is>
      </c>
      <c r="E43" s="7" t="inlineStr">
        <is>
          <t>Marketplace</t>
        </is>
      </c>
      <c r="F43" s="7" t="inlineStr">
        <is>
          <t>Sports</t>
        </is>
      </c>
      <c r="G43" s="7" t="inlineStr">
        <is>
          <t>Cricket Kit</t>
        </is>
      </c>
      <c r="H43" s="7" t="n">
        <v>2</v>
      </c>
      <c r="I43" s="22" t="n">
        <v>3394.03</v>
      </c>
      <c r="J43" s="23" t="n">
        <v>0</v>
      </c>
      <c r="K43" s="22" t="n">
        <v>3722.95</v>
      </c>
      <c r="L43" s="22" t="n">
        <v>6788.06</v>
      </c>
      <c r="M43" s="7" t="inlineStr">
        <is>
          <t>Delivered</t>
        </is>
      </c>
      <c r="N43" s="11" t="n">
        <v>5</v>
      </c>
      <c r="O43" s="24">
        <f>I43*H43</f>
        <v/>
      </c>
      <c r="P43" s="24">
        <f>O43*(1-IF(J43="",0,J43))</f>
        <v/>
      </c>
      <c r="Q43" s="24">
        <f>P43-K43</f>
        <v/>
      </c>
      <c r="R43" s="13">
        <f>IF(M43="Delivered",1,0)</f>
        <v/>
      </c>
    </row>
    <row r="44">
      <c r="A44" s="7" t="inlineStr">
        <is>
          <t>ORD5040</t>
        </is>
      </c>
      <c r="B44" s="21" t="n">
        <v>46215</v>
      </c>
      <c r="C44" s="7" t="inlineStr">
        <is>
          <t>C1031</t>
        </is>
      </c>
      <c r="D44" s="7" t="inlineStr">
        <is>
          <t>Central</t>
        </is>
      </c>
      <c r="E44" s="7" t="inlineStr">
        <is>
          <t>Mobile App</t>
        </is>
      </c>
      <c r="F44" s="7" t="inlineStr">
        <is>
          <t>Beauty</t>
        </is>
      </c>
      <c r="G44" s="7" t="inlineStr">
        <is>
          <t>Hair Dryer</t>
        </is>
      </c>
      <c r="H44" s="7" t="n">
        <v>2</v>
      </c>
      <c r="I44" s="22" t="n">
        <v>2133.03</v>
      </c>
      <c r="J44" s="23" t="n">
        <v>0.15</v>
      </c>
      <c r="K44" s="22" t="n">
        <v>2207.83</v>
      </c>
      <c r="L44" s="22" t="n">
        <v>3626.15</v>
      </c>
      <c r="M44" s="7" t="inlineStr">
        <is>
          <t>Delivered</t>
        </is>
      </c>
      <c r="N44" s="11" t="n">
        <v>1</v>
      </c>
      <c r="O44" s="24">
        <f>I44*H44</f>
        <v/>
      </c>
      <c r="P44" s="24">
        <f>O44*(1-IF(J44="",0,J44))</f>
        <v/>
      </c>
      <c r="Q44" s="24">
        <f>P44-K44</f>
        <v/>
      </c>
      <c r="R44" s="13">
        <f>IF(M44="Delivered",1,0)</f>
        <v/>
      </c>
    </row>
    <row r="45">
      <c r="A45" s="7" t="inlineStr">
        <is>
          <t>ORD5041</t>
        </is>
      </c>
      <c r="B45" s="21" t="n">
        <v>46247</v>
      </c>
      <c r="C45" s="7" t="inlineStr">
        <is>
          <t>C1003</t>
        </is>
      </c>
      <c r="D45" s="7" t="inlineStr">
        <is>
          <t>West</t>
        </is>
      </c>
      <c r="E45" s="7" t="inlineStr">
        <is>
          <t>Website</t>
        </is>
      </c>
      <c r="F45" s="7" t="inlineStr">
        <is>
          <t>Electronics</t>
        </is>
      </c>
      <c r="G45" s="7" t="inlineStr">
        <is>
          <t>Smart Watch</t>
        </is>
      </c>
      <c r="H45" s="7" t="n">
        <v>1</v>
      </c>
      <c r="I45" s="22" t="n">
        <v>3999</v>
      </c>
      <c r="J45" s="23" t="n">
        <v>0.05</v>
      </c>
      <c r="K45" s="22" t="n">
        <v>2006.56</v>
      </c>
      <c r="L45" s="22" t="n">
        <v>3799.05</v>
      </c>
      <c r="M45" s="7" t="inlineStr">
        <is>
          <t>Delivered</t>
        </is>
      </c>
      <c r="N45" s="11" t="n">
        <v>5</v>
      </c>
      <c r="O45" s="24">
        <f>I45*H45</f>
        <v/>
      </c>
      <c r="P45" s="24">
        <f>O45*(1-IF(J45="",0,J45))</f>
        <v/>
      </c>
      <c r="Q45" s="24">
        <f>P45-K45</f>
        <v/>
      </c>
      <c r="R45" s="13">
        <f>IF(M45="Delivered",1,0)</f>
        <v/>
      </c>
    </row>
    <row r="46">
      <c r="A46" s="7" t="inlineStr">
        <is>
          <t>ORD5042</t>
        </is>
      </c>
      <c r="B46" s="21" t="n">
        <v>46248</v>
      </c>
      <c r="C46" s="7" t="inlineStr">
        <is>
          <t>C1038</t>
        </is>
      </c>
      <c r="D46" s="7" t="inlineStr">
        <is>
          <t>South</t>
        </is>
      </c>
      <c r="E46" s="7" t="inlineStr">
        <is>
          <t>Website</t>
        </is>
      </c>
      <c r="F46" s="7" t="inlineStr">
        <is>
          <t>Electronics</t>
        </is>
      </c>
      <c r="G46" s="7" t="inlineStr">
        <is>
          <t>Wireless Earbuds</t>
        </is>
      </c>
      <c r="H46" s="7" t="n">
        <v>1</v>
      </c>
      <c r="I46" s="22" t="n">
        <v>2424.03</v>
      </c>
      <c r="J46" s="23" t="n">
        <v>0.1</v>
      </c>
      <c r="K46" s="22" t="n">
        <v>1680.33</v>
      </c>
      <c r="L46" s="22" t="n">
        <v>2181.63</v>
      </c>
      <c r="M46" s="7" t="inlineStr">
        <is>
          <t>Delivered</t>
        </is>
      </c>
      <c r="N46" s="11" t="n">
        <v>3</v>
      </c>
      <c r="O46" s="24">
        <f>I46*H46</f>
        <v/>
      </c>
      <c r="P46" s="24">
        <f>O46*(1-IF(J46="",0,J46))</f>
        <v/>
      </c>
      <c r="Q46" s="24">
        <f>P46-K46</f>
        <v/>
      </c>
      <c r="R46" s="13">
        <f>IF(M46="Delivered",1,0)</f>
        <v/>
      </c>
    </row>
    <row r="47">
      <c r="A47" s="7" t="inlineStr">
        <is>
          <t>ORD5043</t>
        </is>
      </c>
      <c r="B47" s="21" t="n">
        <v>46249</v>
      </c>
      <c r="C47" s="7" t="inlineStr">
        <is>
          <t>C1057</t>
        </is>
      </c>
      <c r="D47" s="7" t="inlineStr">
        <is>
          <t>South</t>
        </is>
      </c>
      <c r="E47" s="7" t="inlineStr">
        <is>
          <t>Website</t>
        </is>
      </c>
      <c r="F47" s="7" t="inlineStr">
        <is>
          <t>Beauty</t>
        </is>
      </c>
      <c r="G47" s="7" t="inlineStr">
        <is>
          <t>Perfume</t>
        </is>
      </c>
      <c r="H47" s="7" t="n">
        <v>1</v>
      </c>
      <c r="I47" s="22" t="n">
        <v>1678.95</v>
      </c>
      <c r="J47" s="23" t="n">
        <v>0.1</v>
      </c>
      <c r="K47" s="22" t="n">
        <v>894.38</v>
      </c>
      <c r="L47" s="22" t="n">
        <v>1511.06</v>
      </c>
      <c r="M47" s="7" t="inlineStr">
        <is>
          <t>Delivered</t>
        </is>
      </c>
      <c r="N47" s="11" t="n">
        <v>5</v>
      </c>
      <c r="O47" s="24">
        <f>I47*H47</f>
        <v/>
      </c>
      <c r="P47" s="24">
        <f>O47*(1-IF(J47="",0,J47))</f>
        <v/>
      </c>
      <c r="Q47" s="24">
        <f>P47-K47</f>
        <v/>
      </c>
      <c r="R47" s="13">
        <f>IF(M47="Delivered",1,0)</f>
        <v/>
      </c>
    </row>
    <row r="48">
      <c r="A48" s="7" t="inlineStr">
        <is>
          <t>ORD5044</t>
        </is>
      </c>
      <c r="B48" s="21" t="n">
        <v>46250</v>
      </c>
      <c r="C48" s="7" t="inlineStr">
        <is>
          <t>C1010</t>
        </is>
      </c>
      <c r="D48" s="7" t="inlineStr">
        <is>
          <t>North</t>
        </is>
      </c>
      <c r="E48" s="7" t="inlineStr">
        <is>
          <t>Mobile App</t>
        </is>
      </c>
      <c r="F48" s="7" t="inlineStr">
        <is>
          <t>Home &amp; Kitchen</t>
        </is>
      </c>
      <c r="G48" s="7" t="inlineStr">
        <is>
          <t>Bedsheet Set</t>
        </is>
      </c>
      <c r="H48" s="7" t="n">
        <v>3</v>
      </c>
      <c r="I48" s="22" t="n">
        <v>1528.98</v>
      </c>
      <c r="J48" s="25" t="n"/>
      <c r="K48" s="22" t="n">
        <v>3301.87</v>
      </c>
      <c r="L48" s="22" t="n">
        <v>4128.25</v>
      </c>
      <c r="M48" s="7" t="inlineStr">
        <is>
          <t>Delivered</t>
        </is>
      </c>
      <c r="N48" s="11" t="n">
        <v>4</v>
      </c>
      <c r="O48" s="24">
        <f>I48*H48</f>
        <v/>
      </c>
      <c r="P48" s="24">
        <f>O48*(1-IF(J48="",0,J48))</f>
        <v/>
      </c>
      <c r="Q48" s="24">
        <f>P48-K48</f>
        <v/>
      </c>
      <c r="R48" s="13">
        <f>IF(M48="Delivered",1,0)</f>
        <v/>
      </c>
    </row>
    <row r="49">
      <c r="A49" s="7" t="inlineStr">
        <is>
          <t>ORD5045</t>
        </is>
      </c>
      <c r="B49" s="21" t="n">
        <v>46251</v>
      </c>
      <c r="C49" s="7" t="inlineStr">
        <is>
          <t>C1048</t>
        </is>
      </c>
      <c r="D49" s="7" t="inlineStr">
        <is>
          <t>Central</t>
        </is>
      </c>
      <c r="E49" s="7" t="inlineStr">
        <is>
          <t>Mobile App</t>
        </is>
      </c>
      <c r="F49" s="7" t="inlineStr">
        <is>
          <t>Home &amp; Kitchen</t>
        </is>
      </c>
      <c r="G49" s="7" t="inlineStr">
        <is>
          <t>Mixer Grinder</t>
        </is>
      </c>
      <c r="H49" s="7" t="n">
        <v>1</v>
      </c>
      <c r="I49" s="22" t="n">
        <v>3200.03</v>
      </c>
      <c r="J49" s="23" t="n">
        <v>0.05</v>
      </c>
      <c r="K49" s="22" t="n">
        <v>1876.76</v>
      </c>
      <c r="L49" s="22" t="n">
        <v>3040.03</v>
      </c>
      <c r="M49" s="7" t="inlineStr">
        <is>
          <t>Delivered</t>
        </is>
      </c>
      <c r="N49" s="11" t="n">
        <v>4</v>
      </c>
      <c r="O49" s="24">
        <f>I49*H49</f>
        <v/>
      </c>
      <c r="P49" s="24">
        <f>O49*(1-IF(J49="",0,J49))</f>
        <v/>
      </c>
      <c r="Q49" s="24">
        <f>P49-K49</f>
        <v/>
      </c>
      <c r="R49" s="13">
        <f>IF(M49="Delivered",1,0)</f>
        <v/>
      </c>
    </row>
    <row r="50">
      <c r="A50" s="7" t="inlineStr">
        <is>
          <t>ORD5046</t>
        </is>
      </c>
      <c r="B50" s="21" t="n">
        <v>46252</v>
      </c>
      <c r="C50" s="7" t="inlineStr">
        <is>
          <t>C1042</t>
        </is>
      </c>
      <c r="D50" s="7" t="inlineStr">
        <is>
          <t>East</t>
        </is>
      </c>
      <c r="E50" s="7" t="inlineStr">
        <is>
          <t>Mobile App</t>
        </is>
      </c>
      <c r="F50" s="7" t="inlineStr">
        <is>
          <t>Sports</t>
        </is>
      </c>
      <c r="G50" s="7" t="inlineStr">
        <is>
          <t>Dumbbell Set</t>
        </is>
      </c>
      <c r="H50" s="7" t="n">
        <v>2</v>
      </c>
      <c r="I50" s="22" t="n">
        <v>2548.98</v>
      </c>
      <c r="J50" s="23" t="n">
        <v>0.15</v>
      </c>
      <c r="K50" s="22" t="n">
        <v>3597.94</v>
      </c>
      <c r="L50" s="22" t="n">
        <v>4333.27</v>
      </c>
      <c r="M50" s="7" t="inlineStr">
        <is>
          <t>Delivered</t>
        </is>
      </c>
      <c r="N50" s="11" t="n">
        <v>5</v>
      </c>
      <c r="O50" s="24">
        <f>I50*H50</f>
        <v/>
      </c>
      <c r="P50" s="24">
        <f>O50*(1-IF(J50="",0,J50))</f>
        <v/>
      </c>
      <c r="Q50" s="24">
        <f>P50-K50</f>
        <v/>
      </c>
      <c r="R50" s="13">
        <f>IF(M50="Delivered",1,0)</f>
        <v/>
      </c>
    </row>
    <row r="51">
      <c r="A51" s="7" t="inlineStr">
        <is>
          <t>ORD5047</t>
        </is>
      </c>
      <c r="B51" s="21" t="n">
        <v>46253</v>
      </c>
      <c r="C51" s="7" t="inlineStr">
        <is>
          <t>C1008</t>
        </is>
      </c>
      <c r="D51" s="7" t="inlineStr">
        <is>
          <t>West</t>
        </is>
      </c>
      <c r="E51" s="7" t="inlineStr">
        <is>
          <t>Mobile App</t>
        </is>
      </c>
      <c r="F51" s="7" t="inlineStr">
        <is>
          <t>Fashion</t>
        </is>
      </c>
      <c r="G51" s="7" t="inlineStr">
        <is>
          <t>Backpack</t>
        </is>
      </c>
      <c r="H51" s="7" t="n">
        <v>1</v>
      </c>
      <c r="I51" s="22" t="n">
        <v>1936.98</v>
      </c>
      <c r="J51" s="23" t="n">
        <v>0.1</v>
      </c>
      <c r="K51" s="22" t="n">
        <v>1158.74</v>
      </c>
      <c r="L51" s="22" t="n">
        <v>1743.28</v>
      </c>
      <c r="M51" s="7" t="inlineStr">
        <is>
          <t>Delivered</t>
        </is>
      </c>
      <c r="N51" s="11" t="n">
        <v>5</v>
      </c>
      <c r="O51" s="24">
        <f>I51*H51</f>
        <v/>
      </c>
      <c r="P51" s="24">
        <f>O51*(1-IF(J51="",0,J51))</f>
        <v/>
      </c>
      <c r="Q51" s="24">
        <f>P51-K51</f>
        <v/>
      </c>
      <c r="R51" s="13">
        <f>IF(M51="Delivered",1,0)</f>
        <v/>
      </c>
    </row>
    <row r="52">
      <c r="A52" s="7" t="inlineStr">
        <is>
          <t>ORD5048</t>
        </is>
      </c>
      <c r="B52" s="21" t="n">
        <v>46254</v>
      </c>
      <c r="C52" s="14" t="n"/>
      <c r="D52" s="7" t="inlineStr">
        <is>
          <t>North</t>
        </is>
      </c>
      <c r="E52" s="7" t="inlineStr">
        <is>
          <t>Website</t>
        </is>
      </c>
      <c r="F52" s="7" t="inlineStr">
        <is>
          <t>Fashion</t>
        </is>
      </c>
      <c r="G52" s="7" t="inlineStr">
        <is>
          <t>Casual Shirt</t>
        </is>
      </c>
      <c r="H52" s="7" t="n">
        <v>1</v>
      </c>
      <c r="I52" s="22" t="n">
        <v>1299</v>
      </c>
      <c r="J52" s="23" t="n">
        <v>0.15</v>
      </c>
      <c r="K52" s="22" t="n">
        <v>769</v>
      </c>
      <c r="L52" s="22" t="n">
        <v>1104.15</v>
      </c>
      <c r="M52" s="7" t="inlineStr">
        <is>
          <t>Delivered</t>
        </is>
      </c>
      <c r="N52" s="11" t="n">
        <v>2</v>
      </c>
      <c r="O52" s="24">
        <f>I52*H52</f>
        <v/>
      </c>
      <c r="P52" s="24">
        <f>O52*(1-IF(J52="",0,J52))</f>
        <v/>
      </c>
      <c r="Q52" s="24">
        <f>P52-K52</f>
        <v/>
      </c>
      <c r="R52" s="13">
        <f>IF(M52="Delivered",1,0)</f>
        <v/>
      </c>
    </row>
    <row r="53">
      <c r="A53" s="7" t="inlineStr">
        <is>
          <t>ORD5049</t>
        </is>
      </c>
      <c r="B53" s="21" t="n">
        <v>46255</v>
      </c>
      <c r="C53" s="7" t="inlineStr">
        <is>
          <t>C1031</t>
        </is>
      </c>
      <c r="D53" s="7" t="inlineStr">
        <is>
          <t>West</t>
        </is>
      </c>
      <c r="E53" s="7" t="inlineStr">
        <is>
          <t>Marketplace</t>
        </is>
      </c>
      <c r="F53" s="7" t="inlineStr">
        <is>
          <t>Beauty</t>
        </is>
      </c>
      <c r="G53" s="7" t="inlineStr">
        <is>
          <t>Perfume</t>
        </is>
      </c>
      <c r="H53" s="7" t="n">
        <v>1</v>
      </c>
      <c r="I53" s="22" t="n">
        <v>1678.95</v>
      </c>
      <c r="J53" s="23" t="n">
        <v>0.05</v>
      </c>
      <c r="K53" s="22" t="n">
        <v>904.98</v>
      </c>
      <c r="L53" s="22" t="n">
        <v>1595</v>
      </c>
      <c r="M53" s="7" t="inlineStr">
        <is>
          <t>Delivered</t>
        </is>
      </c>
      <c r="N53" s="11" t="n">
        <v>1</v>
      </c>
      <c r="O53" s="24">
        <f>I53*H53</f>
        <v/>
      </c>
      <c r="P53" s="24">
        <f>O53*(1-IF(J53="",0,J53))</f>
        <v/>
      </c>
      <c r="Q53" s="24">
        <f>P53-K53</f>
        <v/>
      </c>
      <c r="R53" s="13">
        <f>IF(M53="Delivered",1,0)</f>
        <v/>
      </c>
    </row>
    <row r="54">
      <c r="A54" s="7" t="inlineStr">
        <is>
          <t>ORD5050</t>
        </is>
      </c>
      <c r="B54" s="21" t="n">
        <v>46256</v>
      </c>
      <c r="C54" s="7" t="inlineStr">
        <is>
          <t>C1055</t>
        </is>
      </c>
      <c r="D54" s="7" t="inlineStr">
        <is>
          <t>East</t>
        </is>
      </c>
      <c r="E54" s="7" t="inlineStr">
        <is>
          <t>Website</t>
        </is>
      </c>
      <c r="F54" s="7" t="inlineStr">
        <is>
          <t>Home &amp; Kitchen</t>
        </is>
      </c>
      <c r="G54" s="7" t="inlineStr">
        <is>
          <t>Bedsheet Set</t>
        </is>
      </c>
      <c r="H54" s="7" t="n">
        <v>1</v>
      </c>
      <c r="I54" s="22" t="n">
        <v>1499</v>
      </c>
      <c r="J54" s="23" t="n">
        <v>0.05</v>
      </c>
      <c r="K54" s="22" t="n">
        <v>1007.21</v>
      </c>
      <c r="L54" s="22" t="n">
        <v>1424.05</v>
      </c>
      <c r="M54" s="7" t="inlineStr">
        <is>
          <t>Delivered</t>
        </is>
      </c>
      <c r="N54" s="11" t="n">
        <v>3</v>
      </c>
      <c r="O54" s="24">
        <f>I54*H54</f>
        <v/>
      </c>
      <c r="P54" s="24">
        <f>O54*(1-IF(J54="",0,J54))</f>
        <v/>
      </c>
      <c r="Q54" s="24">
        <f>P54-K54</f>
        <v/>
      </c>
      <c r="R54" s="13">
        <f>IF(M54="Delivered",1,0)</f>
        <v/>
      </c>
    </row>
    <row r="55">
      <c r="A55" s="7" t="inlineStr">
        <is>
          <t>ORD5051</t>
        </is>
      </c>
      <c r="B55" s="21" t="n">
        <v>46257</v>
      </c>
      <c r="C55" s="7" t="inlineStr">
        <is>
          <t>C1012</t>
        </is>
      </c>
      <c r="D55" s="7" t="inlineStr">
        <is>
          <t>East</t>
        </is>
      </c>
      <c r="E55" s="7" t="inlineStr">
        <is>
          <t>Marketplace</t>
        </is>
      </c>
      <c r="F55" s="7" t="inlineStr">
        <is>
          <t>Electronics</t>
        </is>
      </c>
      <c r="G55" s="7" t="inlineStr">
        <is>
          <t>Smart Watch</t>
        </is>
      </c>
      <c r="H55" s="7" t="n">
        <v>1</v>
      </c>
      <c r="I55" s="22" t="n">
        <v>4078.98</v>
      </c>
      <c r="J55" s="23" t="n">
        <v>0.05</v>
      </c>
      <c r="K55" s="22" t="n">
        <v>2433.23</v>
      </c>
      <c r="L55" s="22" t="n">
        <v>3875.03</v>
      </c>
      <c r="M55" s="7" t="inlineStr">
        <is>
          <t>Cancelled</t>
        </is>
      </c>
      <c r="N55" s="15" t="n"/>
      <c r="O55" s="24">
        <f>I55*H55</f>
        <v/>
      </c>
      <c r="P55" s="24">
        <f>O55*(1-IF(J55="",0,J55))</f>
        <v/>
      </c>
      <c r="Q55" s="24">
        <f>P55-K55</f>
        <v/>
      </c>
      <c r="R55" s="13">
        <f>IF(M55="Delivered",1,0)</f>
        <v/>
      </c>
    </row>
    <row r="56">
      <c r="A56" s="7" t="inlineStr">
        <is>
          <t>ORD5052</t>
        </is>
      </c>
      <c r="B56" s="21" t="n">
        <v>46258</v>
      </c>
      <c r="C56" s="7" t="inlineStr">
        <is>
          <t>C1015</t>
        </is>
      </c>
      <c r="D56" s="7" t="inlineStr">
        <is>
          <t>North</t>
        </is>
      </c>
      <c r="E56" s="7" t="inlineStr">
        <is>
          <t>Marketplace</t>
        </is>
      </c>
      <c r="F56" s="7" t="inlineStr">
        <is>
          <t>Home &amp; Kitchen</t>
        </is>
      </c>
      <c r="G56" s="7" t="inlineStr">
        <is>
          <t>Mixer Grinder</t>
        </is>
      </c>
      <c r="H56" s="7" t="n">
        <v>2</v>
      </c>
      <c r="I56" s="22" t="n">
        <v>3299</v>
      </c>
      <c r="J56" s="23" t="n">
        <v>0.2</v>
      </c>
      <c r="K56" s="22" t="n">
        <v>3746.12</v>
      </c>
      <c r="L56" s="22" t="n">
        <v>5278.4</v>
      </c>
      <c r="M56" s="7" t="inlineStr">
        <is>
          <t>Returned</t>
        </is>
      </c>
      <c r="N56" s="15" t="n"/>
      <c r="O56" s="24">
        <f>I56*H56</f>
        <v/>
      </c>
      <c r="P56" s="24">
        <f>O56*(1-IF(J56="",0,J56))</f>
        <v/>
      </c>
      <c r="Q56" s="24">
        <f>P56-K56</f>
        <v/>
      </c>
      <c r="R56" s="13">
        <f>IF(M56="Delivered",1,0)</f>
        <v/>
      </c>
    </row>
    <row r="57">
      <c r="A57" s="7" t="inlineStr">
        <is>
          <t>ORD5053</t>
        </is>
      </c>
      <c r="B57" s="21" t="n">
        <v>46259</v>
      </c>
      <c r="C57" s="7" t="inlineStr">
        <is>
          <t>C1016</t>
        </is>
      </c>
      <c r="D57" s="7" t="inlineStr">
        <is>
          <t>South</t>
        </is>
      </c>
      <c r="E57" s="7" t="inlineStr">
        <is>
          <t>Website</t>
        </is>
      </c>
      <c r="F57" s="7" t="inlineStr">
        <is>
          <t>Electronics</t>
        </is>
      </c>
      <c r="G57" s="7" t="inlineStr">
        <is>
          <t>Bluetooth Speaker</t>
        </is>
      </c>
      <c r="H57" s="7" t="n">
        <v>1</v>
      </c>
      <c r="I57" s="22" t="n">
        <v>1799</v>
      </c>
      <c r="J57" s="23" t="n">
        <v>0.05</v>
      </c>
      <c r="K57" s="22" t="n">
        <v>1274.82</v>
      </c>
      <c r="L57" s="22" t="n">
        <v>1709.05</v>
      </c>
      <c r="M57" s="7" t="inlineStr">
        <is>
          <t>Delivered</t>
        </is>
      </c>
      <c r="N57" s="11" t="n">
        <v>2</v>
      </c>
      <c r="O57" s="24">
        <f>I57*H57</f>
        <v/>
      </c>
      <c r="P57" s="24">
        <f>O57*(1-IF(J57="",0,J57))</f>
        <v/>
      </c>
      <c r="Q57" s="24">
        <f>P57-K57</f>
        <v/>
      </c>
      <c r="R57" s="13">
        <f>IF(M57="Delivered",1,0)</f>
        <v/>
      </c>
    </row>
    <row r="58">
      <c r="A58" s="7" t="inlineStr">
        <is>
          <t>ORD5054</t>
        </is>
      </c>
      <c r="B58" s="21" t="n">
        <v>46260</v>
      </c>
      <c r="C58" s="7" t="inlineStr">
        <is>
          <t>C1024</t>
        </is>
      </c>
      <c r="D58" s="7" t="inlineStr">
        <is>
          <t>North</t>
        </is>
      </c>
      <c r="E58" s="7" t="inlineStr">
        <is>
          <t>Marketplace</t>
        </is>
      </c>
      <c r="F58" s="7" t="inlineStr">
        <is>
          <t>Home &amp; Kitchen</t>
        </is>
      </c>
      <c r="G58" s="7" t="inlineStr">
        <is>
          <t>Air Fryer</t>
        </is>
      </c>
      <c r="H58" s="7" t="n">
        <v>4</v>
      </c>
      <c r="I58" s="22" t="n">
        <v>5499</v>
      </c>
      <c r="J58" s="23" t="n">
        <v>0.15</v>
      </c>
      <c r="K58" s="22" t="n">
        <v>12477.55</v>
      </c>
      <c r="L58" s="22" t="n">
        <v>18696.6</v>
      </c>
      <c r="M58" s="7" t="inlineStr">
        <is>
          <t>Delivered</t>
        </is>
      </c>
      <c r="N58" s="11" t="n">
        <v>5</v>
      </c>
      <c r="O58" s="24">
        <f>I58*H58</f>
        <v/>
      </c>
      <c r="P58" s="24">
        <f>O58*(1-IF(J58="",0,J58))</f>
        <v/>
      </c>
      <c r="Q58" s="24">
        <f>P58-K58</f>
        <v/>
      </c>
      <c r="R58" s="13">
        <f>IF(M58="Delivered",1,0)</f>
        <v/>
      </c>
    </row>
    <row r="59">
      <c r="A59" s="7" t="inlineStr">
        <is>
          <t>ORD5055</t>
        </is>
      </c>
      <c r="B59" s="21" t="n">
        <v>46261</v>
      </c>
      <c r="C59" s="7" t="inlineStr">
        <is>
          <t>C1037</t>
        </is>
      </c>
      <c r="D59" s="7" t="inlineStr">
        <is>
          <t>South</t>
        </is>
      </c>
      <c r="E59" s="7" t="inlineStr">
        <is>
          <t>Website</t>
        </is>
      </c>
      <c r="F59" s="7" t="inlineStr">
        <is>
          <t>Beauty</t>
        </is>
      </c>
      <c r="G59" s="7" t="inlineStr">
        <is>
          <t>Perfume</t>
        </is>
      </c>
      <c r="H59" s="7" t="n">
        <v>2</v>
      </c>
      <c r="I59" s="22" t="n">
        <v>1551.03</v>
      </c>
      <c r="J59" s="23" t="n">
        <v>0.05</v>
      </c>
      <c r="K59" s="22" t="n">
        <v>2014.91</v>
      </c>
      <c r="L59" s="22" t="n">
        <v>2946.96</v>
      </c>
      <c r="M59" s="7" t="inlineStr">
        <is>
          <t>Delivered</t>
        </is>
      </c>
      <c r="N59" s="11" t="n">
        <v>2</v>
      </c>
      <c r="O59" s="24">
        <f>I59*H59</f>
        <v/>
      </c>
      <c r="P59" s="24">
        <f>O59*(1-IF(J59="",0,J59))</f>
        <v/>
      </c>
      <c r="Q59" s="24">
        <f>P59-K59</f>
        <v/>
      </c>
      <c r="R59" s="13">
        <f>IF(M59="Delivered",1,0)</f>
        <v/>
      </c>
    </row>
    <row r="60">
      <c r="A60" s="7" t="inlineStr">
        <is>
          <t>ORD5056</t>
        </is>
      </c>
      <c r="B60" s="21" t="n">
        <v>46262</v>
      </c>
      <c r="C60" s="7" t="inlineStr">
        <is>
          <t>C1055</t>
        </is>
      </c>
      <c r="D60" s="7" t="inlineStr">
        <is>
          <t>South</t>
        </is>
      </c>
      <c r="E60" s="7" t="inlineStr">
        <is>
          <t>Mobile App</t>
        </is>
      </c>
      <c r="F60" s="7" t="inlineStr">
        <is>
          <t>Beauty</t>
        </is>
      </c>
      <c r="G60" s="7" t="inlineStr">
        <is>
          <t>Perfume</t>
        </is>
      </c>
      <c r="H60" s="7" t="n">
        <v>2</v>
      </c>
      <c r="I60" s="22" t="n">
        <v>1630.98</v>
      </c>
      <c r="J60" s="23" t="n">
        <v>0.2</v>
      </c>
      <c r="K60" s="22" t="n">
        <v>1677.63</v>
      </c>
      <c r="L60" s="22" t="n">
        <v>2609.57</v>
      </c>
      <c r="M60" s="7" t="inlineStr">
        <is>
          <t>Delivered</t>
        </is>
      </c>
      <c r="N60" s="11" t="n">
        <v>4</v>
      </c>
      <c r="O60" s="24">
        <f>I60*H60</f>
        <v/>
      </c>
      <c r="P60" s="24">
        <f>O60*(1-IF(J60="",0,J60))</f>
        <v/>
      </c>
      <c r="Q60" s="24">
        <f>P60-K60</f>
        <v/>
      </c>
      <c r="R60" s="13">
        <f>IF(M60="Delivered",1,0)</f>
        <v/>
      </c>
    </row>
    <row r="61">
      <c r="A61" s="7" t="inlineStr">
        <is>
          <t>ORD5057</t>
        </is>
      </c>
      <c r="B61" s="21" t="n">
        <v>46235</v>
      </c>
      <c r="C61" s="7" t="inlineStr">
        <is>
          <t>C1054</t>
        </is>
      </c>
      <c r="D61" s="7" t="inlineStr">
        <is>
          <t>East</t>
        </is>
      </c>
      <c r="E61" s="7" t="inlineStr">
        <is>
          <t>Website</t>
        </is>
      </c>
      <c r="F61" s="7" t="inlineStr">
        <is>
          <t>Beauty</t>
        </is>
      </c>
      <c r="G61" s="7" t="inlineStr">
        <is>
          <t>Perfume</t>
        </is>
      </c>
      <c r="H61" s="7" t="n">
        <v>2</v>
      </c>
      <c r="I61" s="22" t="n">
        <v>1599</v>
      </c>
      <c r="J61" s="23" t="n">
        <v>0.15</v>
      </c>
      <c r="K61" s="22" t="n">
        <v>2000.87</v>
      </c>
      <c r="L61" s="22" t="n">
        <v>2718.3</v>
      </c>
      <c r="M61" s="7" t="inlineStr">
        <is>
          <t>Delivered</t>
        </is>
      </c>
      <c r="N61" s="11" t="n">
        <v>2</v>
      </c>
      <c r="O61" s="24">
        <f>I61*H61</f>
        <v/>
      </c>
      <c r="P61" s="24">
        <f>O61*(1-IF(J61="",0,J61))</f>
        <v/>
      </c>
      <c r="Q61" s="24">
        <f>P61-K61</f>
        <v/>
      </c>
      <c r="R61" s="13">
        <f>IF(M61="Delivered",1,0)</f>
        <v/>
      </c>
    </row>
    <row r="62">
      <c r="A62" s="7" t="inlineStr">
        <is>
          <t>ORD5058</t>
        </is>
      </c>
      <c r="B62" s="21" t="n">
        <v>46236</v>
      </c>
      <c r="C62" s="7" t="inlineStr">
        <is>
          <t>C1042</t>
        </is>
      </c>
      <c r="D62" s="7" t="inlineStr">
        <is>
          <t>North</t>
        </is>
      </c>
      <c r="E62" s="7" t="inlineStr">
        <is>
          <t>Mobile App</t>
        </is>
      </c>
      <c r="F62" s="7" t="inlineStr">
        <is>
          <t>Sports</t>
        </is>
      </c>
      <c r="G62" s="7" t="inlineStr">
        <is>
          <t>Dumbbell Set</t>
        </is>
      </c>
      <c r="H62" s="7" t="n">
        <v>1</v>
      </c>
      <c r="I62" s="22" t="n">
        <v>2548.98</v>
      </c>
      <c r="J62" s="23" t="n">
        <v>0.1</v>
      </c>
      <c r="K62" s="22" t="n">
        <v>1333.72</v>
      </c>
      <c r="L62" s="22" t="n">
        <v>2294.08</v>
      </c>
      <c r="M62" s="7" t="inlineStr">
        <is>
          <t>Delivered</t>
        </is>
      </c>
      <c r="N62" s="11" t="n">
        <v>3</v>
      </c>
      <c r="O62" s="24">
        <f>I62*H62</f>
        <v/>
      </c>
      <c r="P62" s="24">
        <f>O62*(1-IF(J62="",0,J62))</f>
        <v/>
      </c>
      <c r="Q62" s="24">
        <f>P62-K62</f>
        <v/>
      </c>
      <c r="R62" s="13">
        <f>IF(M62="Delivered",1,0)</f>
        <v/>
      </c>
    </row>
    <row r="63">
      <c r="A63" s="7" t="inlineStr">
        <is>
          <t>ORD5059</t>
        </is>
      </c>
      <c r="B63" s="21" t="n">
        <v>46237</v>
      </c>
      <c r="C63" s="7" t="inlineStr">
        <is>
          <t>C1022</t>
        </is>
      </c>
      <c r="D63" s="7" t="inlineStr">
        <is>
          <t>East</t>
        </is>
      </c>
      <c r="E63" s="7" t="inlineStr">
        <is>
          <t>Website</t>
        </is>
      </c>
      <c r="F63" s="7" t="inlineStr">
        <is>
          <t>Electronics</t>
        </is>
      </c>
      <c r="G63" s="7" t="inlineStr">
        <is>
          <t>Wireless Earbuds</t>
        </is>
      </c>
      <c r="H63" s="7" t="n">
        <v>1</v>
      </c>
      <c r="I63" s="22" t="n">
        <v>2548.98</v>
      </c>
      <c r="J63" s="23" t="n">
        <v>0.05</v>
      </c>
      <c r="K63" s="22" t="n">
        <v>1377.55</v>
      </c>
      <c r="L63" s="22" t="n">
        <v>2421.53</v>
      </c>
      <c r="M63" s="7" t="inlineStr">
        <is>
          <t>Delivered</t>
        </is>
      </c>
      <c r="N63" s="11" t="n">
        <v>4</v>
      </c>
      <c r="O63" s="24">
        <f>I63*H63</f>
        <v/>
      </c>
      <c r="P63" s="24">
        <f>O63*(1-IF(J63="",0,J63))</f>
        <v/>
      </c>
      <c r="Q63" s="24">
        <f>P63-K63</f>
        <v/>
      </c>
      <c r="R63" s="13">
        <f>IF(M63="Delivered",1,0)</f>
        <v/>
      </c>
    </row>
    <row r="64">
      <c r="A64" s="7" t="inlineStr">
        <is>
          <t>ORD5060</t>
        </is>
      </c>
      <c r="B64" s="21" t="n">
        <v>46238</v>
      </c>
      <c r="C64" s="7" t="inlineStr">
        <is>
          <t>C1032</t>
        </is>
      </c>
      <c r="D64" s="7" t="inlineStr">
        <is>
          <t>West</t>
        </is>
      </c>
      <c r="E64" s="7" t="inlineStr">
        <is>
          <t>Mobile App</t>
        </is>
      </c>
      <c r="F64" s="7" t="inlineStr">
        <is>
          <t>Beauty</t>
        </is>
      </c>
      <c r="G64" s="7" t="inlineStr">
        <is>
          <t>Hair Dryer</t>
        </is>
      </c>
      <c r="H64" s="7" t="n">
        <v>1</v>
      </c>
      <c r="I64" s="22" t="n">
        <v>2133.03</v>
      </c>
      <c r="J64" s="23" t="n">
        <v>0</v>
      </c>
      <c r="K64" s="22" t="n">
        <v>1401.59</v>
      </c>
      <c r="L64" s="22" t="n">
        <v>2133.03</v>
      </c>
      <c r="M64" s="7" t="inlineStr">
        <is>
          <t>Delivered</t>
        </is>
      </c>
      <c r="N64" s="11" t="n">
        <v>1</v>
      </c>
      <c r="O64" s="24">
        <f>I64*H64</f>
        <v/>
      </c>
      <c r="P64" s="24">
        <f>O64*(1-IF(J64="",0,J64))</f>
        <v/>
      </c>
      <c r="Q64" s="24">
        <f>P64-K64</f>
        <v/>
      </c>
      <c r="R64" s="13">
        <f>IF(M64="Delivered",1,0)</f>
        <v/>
      </c>
    </row>
    <row r="65">
      <c r="A65" s="7" t="inlineStr">
        <is>
          <t>ORD5061</t>
        </is>
      </c>
      <c r="B65" s="21" t="n">
        <v>46239</v>
      </c>
      <c r="C65" s="7" t="inlineStr">
        <is>
          <t>C1055</t>
        </is>
      </c>
      <c r="D65" s="7" t="inlineStr">
        <is>
          <t>South</t>
        </is>
      </c>
      <c r="E65" s="7" t="inlineStr">
        <is>
          <t>Mobile App</t>
        </is>
      </c>
      <c r="F65" s="7" t="inlineStr">
        <is>
          <t>Fashion</t>
        </is>
      </c>
      <c r="G65" s="7" t="inlineStr">
        <is>
          <t>Running Shoes</t>
        </is>
      </c>
      <c r="H65" s="7" t="n">
        <v>2</v>
      </c>
      <c r="I65" s="22" t="n">
        <v>2715.03</v>
      </c>
      <c r="J65" s="23" t="n">
        <v>0.2</v>
      </c>
      <c r="K65" s="22" t="n">
        <v>2871.64</v>
      </c>
      <c r="L65" s="22" t="n">
        <v>4344.05</v>
      </c>
      <c r="M65" s="7" t="inlineStr">
        <is>
          <t>Delivered</t>
        </is>
      </c>
      <c r="N65" s="11" t="n">
        <v>4</v>
      </c>
      <c r="O65" s="24">
        <f>I65*H65</f>
        <v/>
      </c>
      <c r="P65" s="24">
        <f>O65*(1-IF(J65="",0,J65))</f>
        <v/>
      </c>
      <c r="Q65" s="24">
        <f>P65-K65</f>
        <v/>
      </c>
      <c r="R65" s="13">
        <f>IF(M65="Delivered",1,0)</f>
        <v/>
      </c>
    </row>
    <row r="66">
      <c r="A66" s="7" t="inlineStr">
        <is>
          <t>ORD5062</t>
        </is>
      </c>
      <c r="B66" s="21" t="n">
        <v>46240</v>
      </c>
      <c r="C66" s="7" t="inlineStr">
        <is>
          <t>C1018</t>
        </is>
      </c>
      <c r="D66" s="7" t="inlineStr">
        <is>
          <t>North</t>
        </is>
      </c>
      <c r="E66" s="7" t="inlineStr">
        <is>
          <t>Mobile App</t>
        </is>
      </c>
      <c r="F66" s="7" t="inlineStr">
        <is>
          <t>Sports</t>
        </is>
      </c>
      <c r="G66" s="7" t="inlineStr">
        <is>
          <t>Cricket Kit</t>
        </is>
      </c>
      <c r="H66" s="7" t="n">
        <v>1</v>
      </c>
      <c r="I66" s="22" t="n">
        <v>3568.98</v>
      </c>
      <c r="J66" s="23" t="n">
        <v>0.1</v>
      </c>
      <c r="K66" s="22" t="n">
        <v>1807.23</v>
      </c>
      <c r="L66" s="22" t="n">
        <v>3212.08</v>
      </c>
      <c r="M66" s="7" t="inlineStr">
        <is>
          <t>Delivered</t>
        </is>
      </c>
      <c r="N66" s="11" t="n">
        <v>5</v>
      </c>
      <c r="O66" s="24">
        <f>I66*H66</f>
        <v/>
      </c>
      <c r="P66" s="24">
        <f>O66*(1-IF(J66="",0,J66))</f>
        <v/>
      </c>
      <c r="Q66" s="24">
        <f>P66-K66</f>
        <v/>
      </c>
      <c r="R66" s="13">
        <f>IF(M66="Delivered",1,0)</f>
        <v/>
      </c>
    </row>
    <row r="67">
      <c r="A67" s="7" t="inlineStr">
        <is>
          <t>ORD5063</t>
        </is>
      </c>
      <c r="B67" s="21" t="n">
        <v>46241</v>
      </c>
      <c r="C67" s="7" t="inlineStr">
        <is>
          <t>C1017</t>
        </is>
      </c>
      <c r="D67" s="7" t="inlineStr">
        <is>
          <t>North</t>
        </is>
      </c>
      <c r="E67" s="7" t="inlineStr">
        <is>
          <t>Website</t>
        </is>
      </c>
      <c r="F67" s="7" t="inlineStr">
        <is>
          <t>Home &amp; Kitchen</t>
        </is>
      </c>
      <c r="G67" s="7" t="inlineStr">
        <is>
          <t>Mixer Grinder</t>
        </is>
      </c>
      <c r="H67" s="7" t="n">
        <v>1</v>
      </c>
      <c r="I67" s="22" t="n">
        <v>3299</v>
      </c>
      <c r="J67" s="23" t="n">
        <v>0</v>
      </c>
      <c r="K67" s="22" t="n">
        <v>2091.16</v>
      </c>
      <c r="L67" s="22" t="n">
        <v>3299</v>
      </c>
      <c r="M67" s="7" t="inlineStr">
        <is>
          <t>Delivered</t>
        </is>
      </c>
      <c r="N67" s="11" t="n">
        <v>5</v>
      </c>
      <c r="O67" s="24">
        <f>I67*H67</f>
        <v/>
      </c>
      <c r="P67" s="24">
        <f>O67*(1-IF(J67="",0,J67))</f>
        <v/>
      </c>
      <c r="Q67" s="24">
        <f>P67-K67</f>
        <v/>
      </c>
      <c r="R67" s="13">
        <f>IF(M67="Delivered",1,0)</f>
        <v/>
      </c>
    </row>
    <row r="68">
      <c r="A68" s="7" t="inlineStr">
        <is>
          <t>ORD5064</t>
        </is>
      </c>
      <c r="B68" s="21" t="n">
        <v>46242</v>
      </c>
      <c r="C68" s="7" t="inlineStr">
        <is>
          <t>C1047</t>
        </is>
      </c>
      <c r="D68" s="7" t="inlineStr">
        <is>
          <t>Central</t>
        </is>
      </c>
      <c r="E68" s="7" t="inlineStr">
        <is>
          <t>Website</t>
        </is>
      </c>
      <c r="F68" s="7" t="inlineStr">
        <is>
          <t>Home &amp; Kitchen</t>
        </is>
      </c>
      <c r="G68" s="7" t="inlineStr">
        <is>
          <t>Bedsheet Set</t>
        </is>
      </c>
      <c r="H68" s="7" t="n">
        <v>3</v>
      </c>
      <c r="I68" s="22" t="n">
        <v>1454.03</v>
      </c>
      <c r="J68" s="23" t="n">
        <v>0</v>
      </c>
      <c r="K68" s="22" t="n">
        <v>2616.03</v>
      </c>
      <c r="L68" s="22" t="n">
        <v>4362.09</v>
      </c>
      <c r="M68" s="7" t="inlineStr">
        <is>
          <t>Delivered</t>
        </is>
      </c>
      <c r="N68" s="11" t="n">
        <v>1</v>
      </c>
      <c r="O68" s="24">
        <f>I68*H68</f>
        <v/>
      </c>
      <c r="P68" s="24">
        <f>O68*(1-IF(J68="",0,J68))</f>
        <v/>
      </c>
      <c r="Q68" s="24">
        <f>P68-K68</f>
        <v/>
      </c>
      <c r="R68" s="13">
        <f>IF(M68="Delivered",1,0)</f>
        <v/>
      </c>
    </row>
    <row r="69">
      <c r="A69" s="7" t="inlineStr">
        <is>
          <t>ORD5065</t>
        </is>
      </c>
      <c r="B69" s="21" t="n">
        <v>46243</v>
      </c>
      <c r="C69" s="7" t="inlineStr">
        <is>
          <t>C1059</t>
        </is>
      </c>
      <c r="D69" s="7" t="inlineStr">
        <is>
          <t>South</t>
        </is>
      </c>
      <c r="E69" s="7" t="inlineStr">
        <is>
          <t>Mobile App</t>
        </is>
      </c>
      <c r="F69" s="7" t="inlineStr">
        <is>
          <t>Beauty</t>
        </is>
      </c>
      <c r="G69" s="7" t="inlineStr">
        <is>
          <t>Skin Care Kit</t>
        </is>
      </c>
      <c r="H69" s="7" t="n">
        <v>2</v>
      </c>
      <c r="I69" s="22" t="n">
        <v>999</v>
      </c>
      <c r="J69" s="23" t="n">
        <v>0.2</v>
      </c>
      <c r="K69" s="22" t="n">
        <v>1239.62</v>
      </c>
      <c r="L69" s="22" t="n">
        <v>1598.4</v>
      </c>
      <c r="M69" s="7" t="inlineStr">
        <is>
          <t>Delivered</t>
        </is>
      </c>
      <c r="N69" s="11" t="n">
        <v>3</v>
      </c>
      <c r="O69" s="24">
        <f>I69*H69</f>
        <v/>
      </c>
      <c r="P69" s="24">
        <f>O69*(1-IF(J69="",0,J69))</f>
        <v/>
      </c>
      <c r="Q69" s="24">
        <f>P69-K69</f>
        <v/>
      </c>
      <c r="R69" s="13">
        <f>IF(M69="Delivered",1,0)</f>
        <v/>
      </c>
    </row>
    <row r="70">
      <c r="A70" s="7" t="inlineStr">
        <is>
          <t>ORD5066</t>
        </is>
      </c>
      <c r="B70" s="21" t="n">
        <v>46244</v>
      </c>
      <c r="C70" s="7" t="inlineStr">
        <is>
          <t>C1036</t>
        </is>
      </c>
      <c r="D70" s="7" t="inlineStr">
        <is>
          <t>East</t>
        </is>
      </c>
      <c r="E70" s="7" t="inlineStr">
        <is>
          <t>Mobile App</t>
        </is>
      </c>
      <c r="F70" s="7" t="inlineStr">
        <is>
          <t>Electronics</t>
        </is>
      </c>
      <c r="G70" s="7" t="inlineStr">
        <is>
          <t>Smart Watch</t>
        </is>
      </c>
      <c r="H70" s="7" t="n">
        <v>1</v>
      </c>
      <c r="I70" s="22" t="n">
        <v>3879.03</v>
      </c>
      <c r="J70" s="23" t="n">
        <v>0.1</v>
      </c>
      <c r="K70" s="22" t="n">
        <v>2009.93</v>
      </c>
      <c r="L70" s="22" t="n">
        <v>3491.13</v>
      </c>
      <c r="M70" s="7" t="inlineStr">
        <is>
          <t>Delivered</t>
        </is>
      </c>
      <c r="N70" s="11" t="n">
        <v>3</v>
      </c>
      <c r="O70" s="24">
        <f>I70*H70</f>
        <v/>
      </c>
      <c r="P70" s="24">
        <f>O70*(1-IF(J70="",0,J70))</f>
        <v/>
      </c>
      <c r="Q70" s="24">
        <f>P70-K70</f>
        <v/>
      </c>
      <c r="R70" s="13">
        <f>IF(M70="Delivered",1,0)</f>
        <v/>
      </c>
    </row>
    <row r="71">
      <c r="A71" s="7" t="inlineStr">
        <is>
          <t>ORD5067</t>
        </is>
      </c>
      <c r="B71" s="21" t="n">
        <v>46245</v>
      </c>
      <c r="C71" s="7" t="inlineStr">
        <is>
          <t>C1034</t>
        </is>
      </c>
      <c r="D71" s="7" t="inlineStr">
        <is>
          <t>West</t>
        </is>
      </c>
      <c r="E71" s="7" t="inlineStr">
        <is>
          <t>Marketplace</t>
        </is>
      </c>
      <c r="F71" s="7" t="inlineStr">
        <is>
          <t>Home &amp; Kitchen</t>
        </is>
      </c>
      <c r="G71" s="7" t="inlineStr">
        <is>
          <t>Air Fryer</t>
        </is>
      </c>
      <c r="H71" s="7" t="n">
        <v>1</v>
      </c>
      <c r="I71" s="22" t="n">
        <v>5334.03</v>
      </c>
      <c r="J71" s="23" t="n">
        <v>0</v>
      </c>
      <c r="K71" s="22" t="n">
        <v>3246.59</v>
      </c>
      <c r="L71" s="22" t="n">
        <v>5334.03</v>
      </c>
      <c r="M71" s="7" t="inlineStr">
        <is>
          <t>Delivered</t>
        </is>
      </c>
      <c r="N71" s="11" t="n">
        <v>5</v>
      </c>
      <c r="O71" s="24">
        <f>I71*H71</f>
        <v/>
      </c>
      <c r="P71" s="24">
        <f>O71*(1-IF(J71="",0,J71))</f>
        <v/>
      </c>
      <c r="Q71" s="24">
        <f>P71-K71</f>
        <v/>
      </c>
      <c r="R71" s="13">
        <f>IF(M71="Delivered",1,0)</f>
        <v/>
      </c>
    </row>
    <row r="72">
      <c r="A72" s="7" t="inlineStr">
        <is>
          <t>ORD5068</t>
        </is>
      </c>
      <c r="B72" s="21" t="n">
        <v>46246</v>
      </c>
      <c r="C72" s="7" t="inlineStr">
        <is>
          <t>C1009</t>
        </is>
      </c>
      <c r="D72" s="7" t="inlineStr">
        <is>
          <t>West</t>
        </is>
      </c>
      <c r="E72" s="7" t="inlineStr">
        <is>
          <t>Website</t>
        </is>
      </c>
      <c r="F72" s="7" t="inlineStr">
        <is>
          <t>Sports</t>
        </is>
      </c>
      <c r="G72" s="7" t="inlineStr">
        <is>
          <t>Cricket Kit</t>
        </is>
      </c>
      <c r="H72" s="7" t="n">
        <v>1</v>
      </c>
      <c r="I72" s="22" t="n">
        <v>3394.03</v>
      </c>
      <c r="J72" s="23" t="n">
        <v>0</v>
      </c>
      <c r="K72" s="22" t="n">
        <v>2185.15</v>
      </c>
      <c r="L72" s="22" t="n">
        <v>3394.03</v>
      </c>
      <c r="M72" s="7" t="inlineStr">
        <is>
          <t>Delivered</t>
        </is>
      </c>
      <c r="N72" s="11" t="n">
        <v>4</v>
      </c>
      <c r="O72" s="24">
        <f>I72*H72</f>
        <v/>
      </c>
      <c r="P72" s="24">
        <f>O72*(1-IF(J72="",0,J72))</f>
        <v/>
      </c>
      <c r="Q72" s="24">
        <f>P72-K72</f>
        <v/>
      </c>
      <c r="R72" s="13">
        <f>IF(M72="Delivered",1,0)</f>
        <v/>
      </c>
    </row>
    <row r="73">
      <c r="A73" s="7" t="inlineStr">
        <is>
          <t>ORD5069</t>
        </is>
      </c>
      <c r="B73" s="21" t="n">
        <v>46247</v>
      </c>
      <c r="C73" s="7" t="inlineStr">
        <is>
          <t>C1029</t>
        </is>
      </c>
      <c r="D73" s="7" t="inlineStr">
        <is>
          <t>East</t>
        </is>
      </c>
      <c r="E73" s="7" t="inlineStr">
        <is>
          <t>Website</t>
        </is>
      </c>
      <c r="F73" s="7" t="inlineStr">
        <is>
          <t>Fashion</t>
        </is>
      </c>
      <c r="G73" s="7" t="inlineStr">
        <is>
          <t>Running Shoes</t>
        </is>
      </c>
      <c r="H73" s="7" t="n">
        <v>2</v>
      </c>
      <c r="I73" s="22" t="n">
        <v>2799</v>
      </c>
      <c r="J73" s="23" t="n">
        <v>0</v>
      </c>
      <c r="K73" s="22" t="n">
        <v>3883.16</v>
      </c>
      <c r="L73" s="22" t="n">
        <v>5598</v>
      </c>
      <c r="M73" s="7" t="inlineStr">
        <is>
          <t>Delivered</t>
        </is>
      </c>
      <c r="N73" s="11" t="n">
        <v>2</v>
      </c>
      <c r="O73" s="24">
        <f>I73*H73</f>
        <v/>
      </c>
      <c r="P73" s="24">
        <f>O73*(1-IF(J73="",0,J73))</f>
        <v/>
      </c>
      <c r="Q73" s="24">
        <f>P73-K73</f>
        <v/>
      </c>
      <c r="R73" s="13">
        <f>IF(M73="Delivered",1,0)</f>
        <v/>
      </c>
    </row>
    <row r="74">
      <c r="A74" s="7" t="inlineStr">
        <is>
          <t>ORD5070</t>
        </is>
      </c>
      <c r="B74" s="21" t="n">
        <v>46248</v>
      </c>
      <c r="C74" s="7" t="inlineStr">
        <is>
          <t>C1039</t>
        </is>
      </c>
      <c r="D74" s="7" t="inlineStr">
        <is>
          <t>West</t>
        </is>
      </c>
      <c r="E74" s="7" t="inlineStr">
        <is>
          <t>Marketplace</t>
        </is>
      </c>
      <c r="F74" s="7" t="inlineStr">
        <is>
          <t>Fashion</t>
        </is>
      </c>
      <c r="G74" s="7" t="inlineStr">
        <is>
          <t>Running Shoes</t>
        </is>
      </c>
      <c r="H74" s="7" t="n">
        <v>3</v>
      </c>
      <c r="I74" s="22" t="n">
        <v>2799</v>
      </c>
      <c r="J74" s="23" t="n">
        <v>0.15</v>
      </c>
      <c r="K74" s="22" t="n">
        <v>5767.58</v>
      </c>
      <c r="L74" s="22" t="n">
        <v>7137.45</v>
      </c>
      <c r="M74" s="7" t="inlineStr">
        <is>
          <t>Delivered</t>
        </is>
      </c>
      <c r="N74" s="11" t="n">
        <v>4</v>
      </c>
      <c r="O74" s="24">
        <f>I74*H74</f>
        <v/>
      </c>
      <c r="P74" s="24">
        <f>O74*(1-IF(J74="",0,J74))</f>
        <v/>
      </c>
      <c r="Q74" s="24">
        <f>P74-K74</f>
        <v/>
      </c>
      <c r="R74" s="13">
        <f>IF(M74="Delivered",1,0)</f>
        <v/>
      </c>
    </row>
    <row r="75">
      <c r="A75" s="7" t="inlineStr">
        <is>
          <t>ORD5071</t>
        </is>
      </c>
      <c r="B75" s="21" t="n">
        <v>46249</v>
      </c>
      <c r="C75" s="7" t="inlineStr">
        <is>
          <t>C1038</t>
        </is>
      </c>
      <c r="D75" s="7" t="inlineStr">
        <is>
          <t>East</t>
        </is>
      </c>
      <c r="E75" s="7" t="inlineStr">
        <is>
          <t>Website</t>
        </is>
      </c>
      <c r="F75" s="7" t="inlineStr">
        <is>
          <t>Fashion</t>
        </is>
      </c>
      <c r="G75" s="7" t="inlineStr">
        <is>
          <t>Backpack</t>
        </is>
      </c>
      <c r="H75" s="7" t="n">
        <v>1</v>
      </c>
      <c r="I75" s="22" t="n">
        <v>1842.03</v>
      </c>
      <c r="J75" s="23" t="n">
        <v>0.1</v>
      </c>
      <c r="K75" s="22" t="n">
        <v>1113.47</v>
      </c>
      <c r="L75" s="22" t="n">
        <v>1657.83</v>
      </c>
      <c r="M75" s="7" t="inlineStr">
        <is>
          <t>Delivered</t>
        </is>
      </c>
      <c r="N75" s="11" t="n">
        <v>4</v>
      </c>
      <c r="O75" s="24">
        <f>I75*H75</f>
        <v/>
      </c>
      <c r="P75" s="24">
        <f>O75*(1-IF(J75="",0,J75))</f>
        <v/>
      </c>
      <c r="Q75" s="24">
        <f>P75-K75</f>
        <v/>
      </c>
      <c r="R75" s="13">
        <f>IF(M75="Delivered",1,0)</f>
        <v/>
      </c>
    </row>
    <row r="76">
      <c r="A76" s="7" t="inlineStr">
        <is>
          <t>ORD5072</t>
        </is>
      </c>
      <c r="B76" s="21" t="n">
        <v>46250</v>
      </c>
      <c r="C76" s="7" t="inlineStr">
        <is>
          <t>C1025</t>
        </is>
      </c>
      <c r="D76" s="7" t="inlineStr">
        <is>
          <t>West</t>
        </is>
      </c>
      <c r="E76" s="7" t="inlineStr">
        <is>
          <t>Website</t>
        </is>
      </c>
      <c r="F76" s="7" t="inlineStr">
        <is>
          <t>Electronics</t>
        </is>
      </c>
      <c r="G76" s="7" t="inlineStr">
        <is>
          <t>Bluetooth Speaker</t>
        </is>
      </c>
      <c r="H76" s="7" t="n">
        <v>1</v>
      </c>
      <c r="I76" s="22" t="n">
        <v>1834.98</v>
      </c>
      <c r="J76" s="23" t="n">
        <v>0</v>
      </c>
      <c r="K76" s="22" t="n">
        <v>1237.15</v>
      </c>
      <c r="L76" s="22" t="n">
        <v>1834.98</v>
      </c>
      <c r="M76" s="7" t="inlineStr">
        <is>
          <t>Returned</t>
        </is>
      </c>
      <c r="N76" s="15" t="n"/>
      <c r="O76" s="24">
        <f>I76*H76</f>
        <v/>
      </c>
      <c r="P76" s="24">
        <f>O76*(1-IF(J76="",0,J76))</f>
        <v/>
      </c>
      <c r="Q76" s="24">
        <f>P76-K76</f>
        <v/>
      </c>
      <c r="R76" s="13">
        <f>IF(M76="Delivered",1,0)</f>
        <v/>
      </c>
    </row>
    <row r="77">
      <c r="A77" s="7" t="inlineStr">
        <is>
          <t>ORD5073</t>
        </is>
      </c>
      <c r="B77" s="21" t="n">
        <v>46251</v>
      </c>
      <c r="C77" s="7" t="inlineStr">
        <is>
          <t>C1022</t>
        </is>
      </c>
      <c r="D77" s="7" t="inlineStr">
        <is>
          <t>West</t>
        </is>
      </c>
      <c r="E77" s="7" t="inlineStr">
        <is>
          <t>Website</t>
        </is>
      </c>
      <c r="F77" s="7" t="inlineStr">
        <is>
          <t>Fashion</t>
        </is>
      </c>
      <c r="G77" s="7" t="inlineStr">
        <is>
          <t>Backpack</t>
        </is>
      </c>
      <c r="H77" s="7" t="n">
        <v>1</v>
      </c>
      <c r="I77" s="22" t="n">
        <v>1842.03</v>
      </c>
      <c r="J77" s="23" t="n">
        <v>0.1</v>
      </c>
      <c r="K77" s="22" t="n">
        <v>1012.67</v>
      </c>
      <c r="L77" s="22" t="n">
        <v>1657.83</v>
      </c>
      <c r="M77" s="7" t="inlineStr">
        <is>
          <t>Delivered</t>
        </is>
      </c>
      <c r="N77" s="11" t="n">
        <v>2</v>
      </c>
      <c r="O77" s="24">
        <f>I77*H77</f>
        <v/>
      </c>
      <c r="P77" s="24">
        <f>O77*(1-IF(J77="",0,J77))</f>
        <v/>
      </c>
      <c r="Q77" s="24">
        <f>P77-K77</f>
        <v/>
      </c>
      <c r="R77" s="13">
        <f>IF(M77="Delivered",1,0)</f>
        <v/>
      </c>
    </row>
    <row r="78">
      <c r="A78" s="7" t="inlineStr">
        <is>
          <t>ORD5074</t>
        </is>
      </c>
      <c r="B78" s="21" t="n">
        <v>46252</v>
      </c>
      <c r="C78" s="7" t="inlineStr">
        <is>
          <t>C1032</t>
        </is>
      </c>
      <c r="D78" s="7" t="inlineStr">
        <is>
          <t>West</t>
        </is>
      </c>
      <c r="E78" s="7" t="inlineStr">
        <is>
          <t>Website</t>
        </is>
      </c>
      <c r="F78" s="7" t="inlineStr">
        <is>
          <t>Sports</t>
        </is>
      </c>
      <c r="G78" s="7" t="inlineStr">
        <is>
          <t>Dumbbell Set</t>
        </is>
      </c>
      <c r="H78" s="7" t="n">
        <v>4</v>
      </c>
      <c r="I78" s="22" t="n">
        <v>2499</v>
      </c>
      <c r="J78" s="23" t="n">
        <v>0.05</v>
      </c>
      <c r="K78" s="22" t="n">
        <v>6181.57</v>
      </c>
      <c r="L78" s="22" t="n">
        <v>9496.200000000001</v>
      </c>
      <c r="M78" s="7" t="inlineStr">
        <is>
          <t>Delivered</t>
        </is>
      </c>
      <c r="N78" s="11" t="n">
        <v>1</v>
      </c>
      <c r="O78" s="24">
        <f>I78*H78</f>
        <v/>
      </c>
      <c r="P78" s="24">
        <f>O78*(1-IF(J78="",0,J78))</f>
        <v/>
      </c>
      <c r="Q78" s="24">
        <f>P78-K78</f>
        <v/>
      </c>
      <c r="R78" s="13">
        <f>IF(M78="Delivered",1,0)</f>
        <v/>
      </c>
    </row>
    <row r="79">
      <c r="A79" s="7" t="inlineStr">
        <is>
          <t>ORD5075</t>
        </is>
      </c>
      <c r="B79" s="21" t="n">
        <v>46253</v>
      </c>
      <c r="C79" s="7" t="inlineStr">
        <is>
          <t>C1029</t>
        </is>
      </c>
      <c r="D79" s="7" t="inlineStr">
        <is>
          <t>North</t>
        </is>
      </c>
      <c r="E79" s="7" t="inlineStr">
        <is>
          <t>Website</t>
        </is>
      </c>
      <c r="F79" s="7" t="inlineStr">
        <is>
          <t>Home &amp; Kitchen</t>
        </is>
      </c>
      <c r="G79" s="7" t="inlineStr">
        <is>
          <t>Mixer Grinder</t>
        </is>
      </c>
      <c r="H79" s="7" t="n">
        <v>2</v>
      </c>
      <c r="I79" s="22" t="n">
        <v>3200.03</v>
      </c>
      <c r="J79" s="23" t="n">
        <v>0.05</v>
      </c>
      <c r="K79" s="22" t="n">
        <v>4475.8</v>
      </c>
      <c r="L79" s="22" t="n">
        <v>6080.06</v>
      </c>
      <c r="M79" s="7" t="inlineStr">
        <is>
          <t>Delivered</t>
        </is>
      </c>
      <c r="N79" s="11" t="n">
        <v>2</v>
      </c>
      <c r="O79" s="24">
        <f>I79*H79</f>
        <v/>
      </c>
      <c r="P79" s="24">
        <f>O79*(1-IF(J79="",0,J79))</f>
        <v/>
      </c>
      <c r="Q79" s="24">
        <f>P79-K79</f>
        <v/>
      </c>
      <c r="R79" s="13">
        <f>IF(M79="Delivered",1,0)</f>
        <v/>
      </c>
    </row>
    <row r="80">
      <c r="A80" s="7" t="inlineStr">
        <is>
          <t>ORD5076</t>
        </is>
      </c>
      <c r="B80" s="21" t="n">
        <v>46254</v>
      </c>
      <c r="C80" s="7" t="inlineStr">
        <is>
          <t>C1049</t>
        </is>
      </c>
      <c r="D80" s="7" t="inlineStr">
        <is>
          <t>East</t>
        </is>
      </c>
      <c r="E80" s="7" t="inlineStr">
        <is>
          <t>Website</t>
        </is>
      </c>
      <c r="F80" s="7" t="inlineStr">
        <is>
          <t>Beauty</t>
        </is>
      </c>
      <c r="G80" s="7" t="inlineStr">
        <is>
          <t>Hair Dryer</t>
        </is>
      </c>
      <c r="H80" s="7" t="n">
        <v>2</v>
      </c>
      <c r="I80" s="22" t="n">
        <v>2308.95</v>
      </c>
      <c r="J80" s="23" t="n">
        <v>0.15</v>
      </c>
      <c r="K80" s="22" t="n">
        <v>2247.02</v>
      </c>
      <c r="L80" s="22" t="n">
        <v>3925.21</v>
      </c>
      <c r="M80" s="7" t="inlineStr">
        <is>
          <t>Returned</t>
        </is>
      </c>
      <c r="N80" s="15" t="n"/>
      <c r="O80" s="24">
        <f>I80*H80</f>
        <v/>
      </c>
      <c r="P80" s="24">
        <f>O80*(1-IF(J80="",0,J80))</f>
        <v/>
      </c>
      <c r="Q80" s="24">
        <f>P80-K80</f>
        <v/>
      </c>
      <c r="R80" s="13">
        <f>IF(M80="Delivered",1,0)</f>
        <v/>
      </c>
    </row>
    <row r="81">
      <c r="A81" s="7" t="inlineStr">
        <is>
          <t>ORD5077</t>
        </is>
      </c>
      <c r="B81" s="21" t="n">
        <v>46255</v>
      </c>
      <c r="C81" s="7" t="inlineStr">
        <is>
          <t>C1020</t>
        </is>
      </c>
      <c r="D81" s="7" t="inlineStr">
        <is>
          <t>Central</t>
        </is>
      </c>
      <c r="E81" s="7" t="inlineStr">
        <is>
          <t>Mobile App</t>
        </is>
      </c>
      <c r="F81" s="7" t="inlineStr">
        <is>
          <t>Home &amp; Kitchen</t>
        </is>
      </c>
      <c r="G81" s="7" t="inlineStr">
        <is>
          <t>Mixer Grinder</t>
        </is>
      </c>
      <c r="H81" s="7" t="n">
        <v>3</v>
      </c>
      <c r="I81" s="22" t="n">
        <v>3299</v>
      </c>
      <c r="J81" s="23" t="n">
        <v>0</v>
      </c>
      <c r="K81" s="22" t="n">
        <v>5263.42</v>
      </c>
      <c r="L81" s="22" t="n">
        <v>9897</v>
      </c>
      <c r="M81" s="7" t="inlineStr">
        <is>
          <t>Delivered</t>
        </is>
      </c>
      <c r="N81" s="11" t="n">
        <v>1</v>
      </c>
      <c r="O81" s="24">
        <f>I81*H81</f>
        <v/>
      </c>
      <c r="P81" s="24">
        <f>O81*(1-IF(J81="",0,J81))</f>
        <v/>
      </c>
      <c r="Q81" s="24">
        <f>P81-K81</f>
        <v/>
      </c>
      <c r="R81" s="13">
        <f>IF(M81="Delivered",1,0)</f>
        <v/>
      </c>
    </row>
    <row r="82">
      <c r="A82" s="7" t="inlineStr">
        <is>
          <t>ORD5078</t>
        </is>
      </c>
      <c r="B82" s="21" t="n">
        <v>46256</v>
      </c>
      <c r="C82" s="7" t="inlineStr">
        <is>
          <t>C1049</t>
        </is>
      </c>
      <c r="D82" s="14" t="n"/>
      <c r="E82" s="7" t="inlineStr">
        <is>
          <t>Mobile App</t>
        </is>
      </c>
      <c r="F82" s="7" t="inlineStr">
        <is>
          <t>Electronics</t>
        </is>
      </c>
      <c r="G82" s="7" t="inlineStr">
        <is>
          <t>Wireless Earbuds</t>
        </is>
      </c>
      <c r="H82" s="7" t="n">
        <v>3</v>
      </c>
      <c r="I82" s="22" t="n">
        <v>2548.98</v>
      </c>
      <c r="J82" s="23" t="n">
        <v>0</v>
      </c>
      <c r="K82" s="22" t="n">
        <v>5428.17</v>
      </c>
      <c r="L82" s="22" t="n">
        <v>7646.94</v>
      </c>
      <c r="M82" s="7" t="inlineStr">
        <is>
          <t>Delivered</t>
        </is>
      </c>
      <c r="N82" s="11" t="n">
        <v>3</v>
      </c>
      <c r="O82" s="24">
        <f>I82*H82</f>
        <v/>
      </c>
      <c r="P82" s="24">
        <f>O82*(1-IF(J82="",0,J82))</f>
        <v/>
      </c>
      <c r="Q82" s="24">
        <f>P82-K82</f>
        <v/>
      </c>
      <c r="R82" s="13">
        <f>IF(M82="Delivered",1,0)</f>
        <v/>
      </c>
    </row>
    <row r="83">
      <c r="A83" s="7" t="inlineStr">
        <is>
          <t>ORD5079</t>
        </is>
      </c>
      <c r="B83" s="21" t="n">
        <v>46257</v>
      </c>
      <c r="C83" s="7" t="inlineStr">
        <is>
          <t>C1056</t>
        </is>
      </c>
      <c r="D83" s="7" t="inlineStr">
        <is>
          <t>North</t>
        </is>
      </c>
      <c r="E83" s="7" t="inlineStr">
        <is>
          <t>Website</t>
        </is>
      </c>
      <c r="F83" s="7" t="inlineStr">
        <is>
          <t>Electronics</t>
        </is>
      </c>
      <c r="G83" s="7" t="inlineStr">
        <is>
          <t>Wireless Earbuds</t>
        </is>
      </c>
      <c r="H83" s="7" t="n">
        <v>3</v>
      </c>
      <c r="I83" s="22" t="n">
        <v>2499</v>
      </c>
      <c r="J83" s="23" t="n">
        <v>0.2</v>
      </c>
      <c r="K83" s="22" t="n">
        <v>4769.34</v>
      </c>
      <c r="L83" s="22" t="n">
        <v>5997.6</v>
      </c>
      <c r="M83" s="7" t="inlineStr">
        <is>
          <t>Delivered</t>
        </is>
      </c>
      <c r="N83" s="11" t="n">
        <v>4</v>
      </c>
      <c r="O83" s="24">
        <f>I83*H83</f>
        <v/>
      </c>
      <c r="P83" s="24">
        <f>O83*(1-IF(J83="",0,J83))</f>
        <v/>
      </c>
      <c r="Q83" s="24">
        <f>P83-K83</f>
        <v/>
      </c>
      <c r="R83" s="13">
        <f>IF(M83="Delivered",1,0)</f>
        <v/>
      </c>
    </row>
    <row r="84">
      <c r="A84" s="7" t="inlineStr">
        <is>
          <t>ORD5080</t>
        </is>
      </c>
      <c r="B84" s="21" t="n">
        <v>46258</v>
      </c>
      <c r="C84" s="7" t="inlineStr">
        <is>
          <t>C1037</t>
        </is>
      </c>
      <c r="D84" s="7" t="inlineStr">
        <is>
          <t>West</t>
        </is>
      </c>
      <c r="E84" s="7" t="inlineStr">
        <is>
          <t>Website</t>
        </is>
      </c>
      <c r="F84" s="7" t="inlineStr">
        <is>
          <t>Home &amp; Kitchen</t>
        </is>
      </c>
      <c r="G84" s="7" t="inlineStr">
        <is>
          <t>Bedsheet Set</t>
        </is>
      </c>
      <c r="H84" s="7" t="n">
        <v>3</v>
      </c>
      <c r="I84" s="22" t="n">
        <v>1499</v>
      </c>
      <c r="J84" s="23" t="n">
        <v>0.2</v>
      </c>
      <c r="K84" s="22" t="n">
        <v>2909.78</v>
      </c>
      <c r="L84" s="22" t="n">
        <v>3597.6</v>
      </c>
      <c r="M84" s="7" t="inlineStr">
        <is>
          <t>Delivered</t>
        </is>
      </c>
      <c r="N84" s="11" t="n">
        <v>5</v>
      </c>
      <c r="O84" s="24">
        <f>I84*H84</f>
        <v/>
      </c>
      <c r="P84" s="24">
        <f>O84*(1-IF(J84="",0,J84))</f>
        <v/>
      </c>
      <c r="Q84" s="24">
        <f>P84-K84</f>
        <v/>
      </c>
      <c r="R84" s="13">
        <f>IF(M84="Delivered",1,0)</f>
        <v/>
      </c>
    </row>
    <row r="85">
      <c r="A85" s="7" t="inlineStr">
        <is>
          <t>ORD5081</t>
        </is>
      </c>
      <c r="B85" s="21" t="n">
        <v>46290</v>
      </c>
      <c r="C85" s="7" t="inlineStr">
        <is>
          <t>C1015</t>
        </is>
      </c>
      <c r="D85" s="7" t="inlineStr">
        <is>
          <t>North</t>
        </is>
      </c>
      <c r="E85" s="7" t="inlineStr">
        <is>
          <t>Mobile App</t>
        </is>
      </c>
      <c r="F85" s="7" t="inlineStr">
        <is>
          <t>Sports</t>
        </is>
      </c>
      <c r="G85" s="7" t="inlineStr">
        <is>
          <t>Dumbbell Set</t>
        </is>
      </c>
      <c r="H85" s="7" t="n">
        <v>2</v>
      </c>
      <c r="I85" s="22" t="n">
        <v>2548.98</v>
      </c>
      <c r="J85" s="23" t="n">
        <v>0.15</v>
      </c>
      <c r="K85" s="22" t="n">
        <v>3853.15</v>
      </c>
      <c r="L85" s="22" t="n">
        <v>4333.27</v>
      </c>
      <c r="M85" s="7" t="inlineStr">
        <is>
          <t>Delivered</t>
        </is>
      </c>
      <c r="N85" s="11" t="n">
        <v>3</v>
      </c>
      <c r="O85" s="24">
        <f>I85*H85</f>
        <v/>
      </c>
      <c r="P85" s="24">
        <f>O85*(1-IF(J85="",0,J85))</f>
        <v/>
      </c>
      <c r="Q85" s="24">
        <f>P85-K85</f>
        <v/>
      </c>
      <c r="R85" s="13">
        <f>IF(M85="Delivered",1,0)</f>
        <v/>
      </c>
    </row>
    <row r="86">
      <c r="A86" s="7" t="inlineStr">
        <is>
          <t>ORD5082</t>
        </is>
      </c>
      <c r="B86" s="21" t="n">
        <v>46291</v>
      </c>
      <c r="C86" s="7" t="inlineStr">
        <is>
          <t>C1043</t>
        </is>
      </c>
      <c r="D86" s="7" t="inlineStr">
        <is>
          <t>South</t>
        </is>
      </c>
      <c r="E86" s="7" t="inlineStr">
        <is>
          <t>Website</t>
        </is>
      </c>
      <c r="F86" s="7" t="inlineStr">
        <is>
          <t>Beauty</t>
        </is>
      </c>
      <c r="G86" s="7" t="inlineStr">
        <is>
          <t>Skin Care Kit</t>
        </is>
      </c>
      <c r="H86" s="7" t="n">
        <v>1</v>
      </c>
      <c r="I86" s="22" t="n">
        <v>999</v>
      </c>
      <c r="J86" s="23" t="n">
        <v>0</v>
      </c>
      <c r="K86" s="22" t="n">
        <v>591.0599999999999</v>
      </c>
      <c r="L86" s="22" t="n">
        <v>999</v>
      </c>
      <c r="M86" s="7" t="inlineStr">
        <is>
          <t>Delivered</t>
        </is>
      </c>
      <c r="N86" s="11" t="n">
        <v>4</v>
      </c>
      <c r="O86" s="24">
        <f>I86*H86</f>
        <v/>
      </c>
      <c r="P86" s="24">
        <f>O86*(1-IF(J86="",0,J86))</f>
        <v/>
      </c>
      <c r="Q86" s="24">
        <f>P86-K86</f>
        <v/>
      </c>
      <c r="R86" s="13">
        <f>IF(M86="Delivered",1,0)</f>
        <v/>
      </c>
    </row>
    <row r="87">
      <c r="A87" s="7" t="inlineStr">
        <is>
          <t>ORD5083</t>
        </is>
      </c>
      <c r="B87" s="21" t="n">
        <v>46292</v>
      </c>
      <c r="C87" s="7" t="inlineStr">
        <is>
          <t>C1040</t>
        </is>
      </c>
      <c r="D87" s="7" t="inlineStr">
        <is>
          <t>East</t>
        </is>
      </c>
      <c r="E87" s="7" t="inlineStr">
        <is>
          <t>Website</t>
        </is>
      </c>
      <c r="F87" s="7" t="inlineStr">
        <is>
          <t>Electronics</t>
        </is>
      </c>
      <c r="G87" s="7" t="inlineStr">
        <is>
          <t>Smart Watch</t>
        </is>
      </c>
      <c r="H87" s="7" t="n">
        <v>2</v>
      </c>
      <c r="I87" s="22" t="n">
        <v>4078.98</v>
      </c>
      <c r="J87" s="23" t="n">
        <v>0.15</v>
      </c>
      <c r="K87" s="22" t="n">
        <v>5954.12</v>
      </c>
      <c r="L87" s="22" t="n">
        <v>6934.27</v>
      </c>
      <c r="M87" s="7" t="inlineStr">
        <is>
          <t>Delivered</t>
        </is>
      </c>
      <c r="N87" s="11" t="n">
        <v>3</v>
      </c>
      <c r="O87" s="24">
        <f>I87*H87</f>
        <v/>
      </c>
      <c r="P87" s="24">
        <f>O87*(1-IF(J87="",0,J87))</f>
        <v/>
      </c>
      <c r="Q87" s="24">
        <f>P87-K87</f>
        <v/>
      </c>
      <c r="R87" s="13">
        <f>IF(M87="Delivered",1,0)</f>
        <v/>
      </c>
    </row>
    <row r="88">
      <c r="A88" s="7" t="inlineStr">
        <is>
          <t>ORD5084</t>
        </is>
      </c>
      <c r="B88" s="21" t="n">
        <v>46293</v>
      </c>
      <c r="C88" s="7" t="inlineStr">
        <is>
          <t>C1003</t>
        </is>
      </c>
      <c r="D88" s="7" t="inlineStr">
        <is>
          <t>North</t>
        </is>
      </c>
      <c r="E88" s="7" t="inlineStr">
        <is>
          <t>Mobile App</t>
        </is>
      </c>
      <c r="F88" s="7" t="inlineStr">
        <is>
          <t>Sports</t>
        </is>
      </c>
      <c r="G88" s="7" t="inlineStr">
        <is>
          <t>Cricket Kit</t>
        </is>
      </c>
      <c r="H88" s="7" t="n">
        <v>1</v>
      </c>
      <c r="I88" s="22" t="n">
        <v>3568.98</v>
      </c>
      <c r="J88" s="23" t="n">
        <v>0.05</v>
      </c>
      <c r="K88" s="22" t="n">
        <v>1735.96</v>
      </c>
      <c r="L88" s="22" t="n">
        <v>3390.53</v>
      </c>
      <c r="M88" s="7" t="inlineStr">
        <is>
          <t>Delivered</t>
        </is>
      </c>
      <c r="N88" s="11" t="n">
        <v>4</v>
      </c>
      <c r="O88" s="24">
        <f>I88*H88</f>
        <v/>
      </c>
      <c r="P88" s="24">
        <f>O88*(1-IF(J88="",0,J88))</f>
        <v/>
      </c>
      <c r="Q88" s="24">
        <f>P88-K88</f>
        <v/>
      </c>
      <c r="R88" s="13">
        <f>IF(M88="Delivered",1,0)</f>
        <v/>
      </c>
    </row>
    <row r="89">
      <c r="A89" s="7" t="inlineStr">
        <is>
          <t>ORD5085</t>
        </is>
      </c>
      <c r="B89" s="21" t="n">
        <v>46266</v>
      </c>
      <c r="C89" s="7" t="inlineStr">
        <is>
          <t>C1029</t>
        </is>
      </c>
      <c r="D89" s="7" t="inlineStr">
        <is>
          <t>West</t>
        </is>
      </c>
      <c r="E89" s="7" t="inlineStr">
        <is>
          <t>Mobile App</t>
        </is>
      </c>
      <c r="F89" s="7" t="inlineStr">
        <is>
          <t>Sports</t>
        </is>
      </c>
      <c r="G89" s="7" t="inlineStr">
        <is>
          <t>Yoga Mat</t>
        </is>
      </c>
      <c r="H89" s="7" t="n">
        <v>1</v>
      </c>
      <c r="I89" s="22" t="n">
        <v>872.03</v>
      </c>
      <c r="J89" s="23" t="n">
        <v>0.2</v>
      </c>
      <c r="K89" s="22" t="n">
        <v>440.55</v>
      </c>
      <c r="L89" s="22" t="n">
        <v>697.62</v>
      </c>
      <c r="M89" s="7" t="inlineStr">
        <is>
          <t>Delivered</t>
        </is>
      </c>
      <c r="N89" s="11" t="n">
        <v>1</v>
      </c>
      <c r="O89" s="24">
        <f>I89*H89</f>
        <v/>
      </c>
      <c r="P89" s="24">
        <f>O89*(1-IF(J89="",0,J89))</f>
        <v/>
      </c>
      <c r="Q89" s="24">
        <f>P89-K89</f>
        <v/>
      </c>
      <c r="R89" s="13">
        <f>IF(M89="Delivered",1,0)</f>
        <v/>
      </c>
    </row>
    <row r="90">
      <c r="A90" s="7" t="inlineStr">
        <is>
          <t>ORD5086</t>
        </is>
      </c>
      <c r="B90" s="21" t="n">
        <v>46267</v>
      </c>
      <c r="C90" s="7" t="inlineStr">
        <is>
          <t>C1010</t>
        </is>
      </c>
      <c r="D90" s="7" t="inlineStr">
        <is>
          <t>East</t>
        </is>
      </c>
      <c r="E90" s="7" t="inlineStr">
        <is>
          <t>Marketplace</t>
        </is>
      </c>
      <c r="F90" s="7" t="inlineStr">
        <is>
          <t>Sports</t>
        </is>
      </c>
      <c r="G90" s="7" t="inlineStr">
        <is>
          <t>Yoga Mat</t>
        </is>
      </c>
      <c r="H90" s="7" t="n">
        <v>3</v>
      </c>
      <c r="I90" s="22" t="n">
        <v>899</v>
      </c>
      <c r="J90" s="23" t="n">
        <v>0.2</v>
      </c>
      <c r="K90" s="22" t="n">
        <v>1576.31</v>
      </c>
      <c r="L90" s="22" t="n">
        <v>2157.6</v>
      </c>
      <c r="M90" s="7" t="inlineStr">
        <is>
          <t>Returned</t>
        </is>
      </c>
      <c r="N90" s="15" t="n"/>
      <c r="O90" s="24">
        <f>I90*H90</f>
        <v/>
      </c>
      <c r="P90" s="24">
        <f>O90*(1-IF(J90="",0,J90))</f>
        <v/>
      </c>
      <c r="Q90" s="24">
        <f>P90-K90</f>
        <v/>
      </c>
      <c r="R90" s="13">
        <f>IF(M90="Delivered",1,0)</f>
        <v/>
      </c>
    </row>
    <row r="91">
      <c r="A91" s="7" t="inlineStr">
        <is>
          <t>ORD5087</t>
        </is>
      </c>
      <c r="B91" s="21" t="n">
        <v>46268</v>
      </c>
      <c r="C91" s="7" t="inlineStr">
        <is>
          <t>C1037</t>
        </is>
      </c>
      <c r="D91" s="7" t="inlineStr">
        <is>
          <t>East</t>
        </is>
      </c>
      <c r="E91" s="7" t="inlineStr">
        <is>
          <t>Marketplace</t>
        </is>
      </c>
      <c r="F91" s="7" t="inlineStr">
        <is>
          <t>Home &amp; Kitchen</t>
        </is>
      </c>
      <c r="G91" s="7" t="inlineStr">
        <is>
          <t>Bedsheet Set</t>
        </is>
      </c>
      <c r="H91" s="7" t="n">
        <v>3</v>
      </c>
      <c r="I91" s="22" t="n">
        <v>1573.95</v>
      </c>
      <c r="J91" s="23" t="n">
        <v>0.05</v>
      </c>
      <c r="K91" s="22" t="n">
        <v>2871.2</v>
      </c>
      <c r="L91" s="22" t="n">
        <v>4485.76</v>
      </c>
      <c r="M91" s="7" t="inlineStr">
        <is>
          <t>Delivered</t>
        </is>
      </c>
      <c r="N91" s="11" t="n">
        <v>3</v>
      </c>
      <c r="O91" s="24">
        <f>I91*H91</f>
        <v/>
      </c>
      <c r="P91" s="24">
        <f>O91*(1-IF(J91="",0,J91))</f>
        <v/>
      </c>
      <c r="Q91" s="24">
        <f>P91-K91</f>
        <v/>
      </c>
      <c r="R91" s="13">
        <f>IF(M91="Delivered",1,0)</f>
        <v/>
      </c>
    </row>
    <row r="92">
      <c r="A92" s="7" t="inlineStr">
        <is>
          <t>ORD5088</t>
        </is>
      </c>
      <c r="B92" s="21" t="n">
        <v>46269</v>
      </c>
      <c r="C92" s="7" t="inlineStr">
        <is>
          <t>C1056</t>
        </is>
      </c>
      <c r="D92" s="7" t="inlineStr">
        <is>
          <t>North</t>
        </is>
      </c>
      <c r="E92" s="7" t="inlineStr">
        <is>
          <t>Mobile App</t>
        </is>
      </c>
      <c r="F92" s="7" t="inlineStr">
        <is>
          <t>Sports</t>
        </is>
      </c>
      <c r="G92" s="7" t="inlineStr">
        <is>
          <t>Cricket Kit</t>
        </is>
      </c>
      <c r="H92" s="7" t="n">
        <v>1</v>
      </c>
      <c r="I92" s="22" t="n">
        <v>3394.03</v>
      </c>
      <c r="J92" s="23" t="n">
        <v>0.1</v>
      </c>
      <c r="K92" s="22" t="n">
        <v>2157.35</v>
      </c>
      <c r="L92" s="22" t="n">
        <v>3054.63</v>
      </c>
      <c r="M92" s="7" t="inlineStr">
        <is>
          <t>Delivered</t>
        </is>
      </c>
      <c r="N92" s="11" t="n">
        <v>2</v>
      </c>
      <c r="O92" s="24">
        <f>I92*H92</f>
        <v/>
      </c>
      <c r="P92" s="24">
        <f>O92*(1-IF(J92="",0,J92))</f>
        <v/>
      </c>
      <c r="Q92" s="24">
        <f>P92-K92</f>
        <v/>
      </c>
      <c r="R92" s="13">
        <f>IF(M92="Delivered",1,0)</f>
        <v/>
      </c>
    </row>
    <row r="93">
      <c r="A93" s="7" t="inlineStr">
        <is>
          <t>ORD5089</t>
        </is>
      </c>
      <c r="B93" s="21" t="n">
        <v>46270</v>
      </c>
      <c r="C93" s="7" t="inlineStr">
        <is>
          <t>C1027</t>
        </is>
      </c>
      <c r="D93" s="7" t="inlineStr">
        <is>
          <t>Central</t>
        </is>
      </c>
      <c r="E93" s="7" t="inlineStr">
        <is>
          <t>Mobile App</t>
        </is>
      </c>
      <c r="F93" s="7" t="inlineStr">
        <is>
          <t>Fashion</t>
        </is>
      </c>
      <c r="G93" s="7" t="inlineStr">
        <is>
          <t>Backpack</t>
        </is>
      </c>
      <c r="H93" s="7" t="n">
        <v>1</v>
      </c>
      <c r="I93" s="22" t="n">
        <v>1936.98</v>
      </c>
      <c r="J93" s="23" t="n">
        <v>0.15</v>
      </c>
      <c r="K93" s="22" t="n">
        <v>1231.58</v>
      </c>
      <c r="L93" s="22" t="n">
        <v>1646.43</v>
      </c>
      <c r="M93" s="7" t="inlineStr">
        <is>
          <t>Delivered</t>
        </is>
      </c>
      <c r="N93" s="11" t="n">
        <v>3</v>
      </c>
      <c r="O93" s="24">
        <f>I93*H93</f>
        <v/>
      </c>
      <c r="P93" s="24">
        <f>O93*(1-IF(J93="",0,J93))</f>
        <v/>
      </c>
      <c r="Q93" s="24">
        <f>P93-K93</f>
        <v/>
      </c>
      <c r="R93" s="13">
        <f>IF(M93="Delivered",1,0)</f>
        <v/>
      </c>
    </row>
    <row r="94">
      <c r="A94" s="7" t="inlineStr">
        <is>
          <t>ORD5090</t>
        </is>
      </c>
      <c r="B94" s="21" t="n">
        <v>46271</v>
      </c>
      <c r="C94" s="7" t="inlineStr">
        <is>
          <t>C1041</t>
        </is>
      </c>
      <c r="D94" s="7" t="inlineStr">
        <is>
          <t>South</t>
        </is>
      </c>
      <c r="E94" s="7" t="inlineStr">
        <is>
          <t>Mobile App</t>
        </is>
      </c>
      <c r="F94" s="7" t="inlineStr">
        <is>
          <t>Home &amp; Kitchen</t>
        </is>
      </c>
      <c r="G94" s="7" t="inlineStr">
        <is>
          <t>Air Fryer</t>
        </is>
      </c>
      <c r="H94" s="7" t="n">
        <v>3</v>
      </c>
      <c r="I94" s="22" t="n">
        <v>5773.95</v>
      </c>
      <c r="J94" s="23" t="n">
        <v>0.15</v>
      </c>
      <c r="K94" s="22" t="n">
        <v>9696.700000000001</v>
      </c>
      <c r="L94" s="22" t="n">
        <v>14723.57</v>
      </c>
      <c r="M94" s="7" t="inlineStr">
        <is>
          <t>Delivered</t>
        </is>
      </c>
      <c r="N94" s="11" t="n">
        <v>3</v>
      </c>
      <c r="O94" s="24">
        <f>I94*H94</f>
        <v/>
      </c>
      <c r="P94" s="24">
        <f>O94*(1-IF(J94="",0,J94))</f>
        <v/>
      </c>
      <c r="Q94" s="24">
        <f>P94-K94</f>
        <v/>
      </c>
      <c r="R94" s="13">
        <f>IF(M94="Delivered",1,0)</f>
        <v/>
      </c>
    </row>
    <row r="95">
      <c r="A95" s="7" t="inlineStr">
        <is>
          <t>ORD5091</t>
        </is>
      </c>
      <c r="B95" s="21" t="n">
        <v>46272</v>
      </c>
      <c r="C95" s="14" t="n"/>
      <c r="D95" s="7" t="inlineStr">
        <is>
          <t>North</t>
        </is>
      </c>
      <c r="E95" s="7" t="inlineStr">
        <is>
          <t>Mobile App</t>
        </is>
      </c>
      <c r="F95" s="7" t="inlineStr">
        <is>
          <t>Home &amp; Kitchen</t>
        </is>
      </c>
      <c r="G95" s="7" t="inlineStr">
        <is>
          <t>Air Fryer</t>
        </is>
      </c>
      <c r="H95" s="7" t="n">
        <v>2</v>
      </c>
      <c r="I95" s="22" t="n">
        <v>5773.95</v>
      </c>
      <c r="J95" s="23" t="n">
        <v>0.2</v>
      </c>
      <c r="K95" s="22" t="n">
        <v>8747.73</v>
      </c>
      <c r="L95" s="22" t="n">
        <v>9238.32</v>
      </c>
      <c r="M95" s="7" t="inlineStr">
        <is>
          <t>Delivered</t>
        </is>
      </c>
      <c r="N95" s="11" t="n">
        <v>2</v>
      </c>
      <c r="O95" s="24">
        <f>I95*H95</f>
        <v/>
      </c>
      <c r="P95" s="24">
        <f>O95*(1-IF(J95="",0,J95))</f>
        <v/>
      </c>
      <c r="Q95" s="24">
        <f>P95-K95</f>
        <v/>
      </c>
      <c r="R95" s="13">
        <f>IF(M95="Delivered",1,0)</f>
        <v/>
      </c>
    </row>
    <row r="96">
      <c r="A96" s="7" t="inlineStr">
        <is>
          <t>ORD5092</t>
        </is>
      </c>
      <c r="B96" s="21" t="n">
        <v>46273</v>
      </c>
      <c r="C96" s="7" t="inlineStr">
        <is>
          <t>C1014</t>
        </is>
      </c>
      <c r="D96" s="7" t="inlineStr">
        <is>
          <t>West</t>
        </is>
      </c>
      <c r="E96" s="7" t="inlineStr">
        <is>
          <t>Mobile App</t>
        </is>
      </c>
      <c r="F96" s="7" t="inlineStr">
        <is>
          <t>Electronics</t>
        </is>
      </c>
      <c r="G96" s="7" t="inlineStr">
        <is>
          <t>Smart Watch</t>
        </is>
      </c>
      <c r="H96" s="7" t="n">
        <v>2</v>
      </c>
      <c r="I96" s="22" t="n">
        <v>4198.95</v>
      </c>
      <c r="J96" s="23" t="n">
        <v>0.05</v>
      </c>
      <c r="K96" s="22" t="n">
        <v>5737.58</v>
      </c>
      <c r="L96" s="22" t="n">
        <v>7978</v>
      </c>
      <c r="M96" s="7" t="inlineStr">
        <is>
          <t>Returned</t>
        </is>
      </c>
      <c r="N96" s="15" t="n"/>
      <c r="O96" s="24">
        <f>I96*H96</f>
        <v/>
      </c>
      <c r="P96" s="24">
        <f>O96*(1-IF(J96="",0,J96))</f>
        <v/>
      </c>
      <c r="Q96" s="24">
        <f>P96-K96</f>
        <v/>
      </c>
      <c r="R96" s="13">
        <f>IF(M96="Delivered",1,0)</f>
        <v/>
      </c>
    </row>
    <row r="97">
      <c r="A97" s="7" t="inlineStr">
        <is>
          <t>ORD5093</t>
        </is>
      </c>
      <c r="B97" s="21" t="n">
        <v>46274</v>
      </c>
      <c r="C97" s="7" t="inlineStr">
        <is>
          <t>C1019</t>
        </is>
      </c>
      <c r="D97" s="7" t="inlineStr">
        <is>
          <t>South</t>
        </is>
      </c>
      <c r="E97" s="7" t="inlineStr">
        <is>
          <t>Mobile App</t>
        </is>
      </c>
      <c r="F97" s="7" t="inlineStr">
        <is>
          <t>Beauty</t>
        </is>
      </c>
      <c r="G97" s="7" t="inlineStr">
        <is>
          <t>Skin Care Kit</t>
        </is>
      </c>
      <c r="H97" s="7" t="n">
        <v>1</v>
      </c>
      <c r="I97" s="22" t="n">
        <v>969.03</v>
      </c>
      <c r="J97" s="23" t="n">
        <v>0</v>
      </c>
      <c r="K97" s="22" t="n">
        <v>606</v>
      </c>
      <c r="L97" s="22" t="n">
        <v>969.03</v>
      </c>
      <c r="M97" s="7" t="inlineStr">
        <is>
          <t>Delivered</t>
        </is>
      </c>
      <c r="N97" s="11" t="n">
        <v>1</v>
      </c>
      <c r="O97" s="24">
        <f>I97*H97</f>
        <v/>
      </c>
      <c r="P97" s="24">
        <f>O97*(1-IF(J97="",0,J97))</f>
        <v/>
      </c>
      <c r="Q97" s="24">
        <f>P97-K97</f>
        <v/>
      </c>
      <c r="R97" s="13">
        <f>IF(M97="Delivered",1,0)</f>
        <v/>
      </c>
    </row>
    <row r="98">
      <c r="A98" s="7" t="inlineStr">
        <is>
          <t>ORD5094</t>
        </is>
      </c>
      <c r="B98" s="21" t="n">
        <v>46275</v>
      </c>
      <c r="C98" s="7" t="inlineStr">
        <is>
          <t>C1035</t>
        </is>
      </c>
      <c r="D98" s="7" t="inlineStr">
        <is>
          <t>East</t>
        </is>
      </c>
      <c r="E98" s="7" t="inlineStr">
        <is>
          <t>Website</t>
        </is>
      </c>
      <c r="F98" s="7" t="inlineStr">
        <is>
          <t>Electronics</t>
        </is>
      </c>
      <c r="G98" s="7" t="inlineStr">
        <is>
          <t>Wireless Earbuds</t>
        </is>
      </c>
      <c r="H98" s="7" t="n">
        <v>1</v>
      </c>
      <c r="I98" s="22" t="n">
        <v>2548.98</v>
      </c>
      <c r="J98" s="23" t="n">
        <v>0.05</v>
      </c>
      <c r="K98" s="22" t="n">
        <v>1497.69</v>
      </c>
      <c r="L98" s="22" t="n">
        <v>2421.53</v>
      </c>
      <c r="M98" s="7" t="inlineStr">
        <is>
          <t>Returned</t>
        </is>
      </c>
      <c r="N98" s="15" t="n"/>
      <c r="O98" s="24">
        <f>I98*H98</f>
        <v/>
      </c>
      <c r="P98" s="24">
        <f>O98*(1-IF(J98="",0,J98))</f>
        <v/>
      </c>
      <c r="Q98" s="24">
        <f>P98-K98</f>
        <v/>
      </c>
      <c r="R98" s="13">
        <f>IF(M98="Delivered",1,0)</f>
        <v/>
      </c>
    </row>
    <row r="99">
      <c r="A99" s="7" t="inlineStr">
        <is>
          <t>ORD5095</t>
        </is>
      </c>
      <c r="B99" s="21" t="n">
        <v>46276</v>
      </c>
      <c r="C99" s="7" t="inlineStr">
        <is>
          <t>C1018</t>
        </is>
      </c>
      <c r="D99" s="7" t="inlineStr">
        <is>
          <t>West</t>
        </is>
      </c>
      <c r="E99" s="7" t="inlineStr">
        <is>
          <t>Mobile App</t>
        </is>
      </c>
      <c r="F99" s="7" t="inlineStr">
        <is>
          <t>Fashion</t>
        </is>
      </c>
      <c r="G99" s="7" t="inlineStr">
        <is>
          <t>Running Shoes</t>
        </is>
      </c>
      <c r="H99" s="7" t="n">
        <v>2</v>
      </c>
      <c r="I99" s="22" t="n">
        <v>2715.03</v>
      </c>
      <c r="J99" s="23" t="n">
        <v>0.05</v>
      </c>
      <c r="K99" s="22" t="n">
        <v>3208.92</v>
      </c>
      <c r="L99" s="22" t="n">
        <v>5158.56</v>
      </c>
      <c r="M99" s="7" t="inlineStr">
        <is>
          <t>Delivered</t>
        </is>
      </c>
      <c r="N99" s="11" t="n">
        <v>2</v>
      </c>
      <c r="O99" s="24">
        <f>I99*H99</f>
        <v/>
      </c>
      <c r="P99" s="24">
        <f>O99*(1-IF(J99="",0,J99))</f>
        <v/>
      </c>
      <c r="Q99" s="24">
        <f>P99-K99</f>
        <v/>
      </c>
      <c r="R99" s="13">
        <f>IF(M99="Delivered",1,0)</f>
        <v/>
      </c>
    </row>
    <row r="100">
      <c r="A100" s="7" t="inlineStr">
        <is>
          <t>ORD5096</t>
        </is>
      </c>
      <c r="B100" s="21" t="n">
        <v>46277</v>
      </c>
      <c r="C100" s="7" t="inlineStr">
        <is>
          <t>C1030</t>
        </is>
      </c>
      <c r="D100" s="7" t="inlineStr">
        <is>
          <t>North</t>
        </is>
      </c>
      <c r="E100" s="7" t="inlineStr">
        <is>
          <t>Website</t>
        </is>
      </c>
      <c r="F100" s="7" t="inlineStr">
        <is>
          <t>Sports</t>
        </is>
      </c>
      <c r="G100" s="7" t="inlineStr">
        <is>
          <t>Yoga Mat</t>
        </is>
      </c>
      <c r="H100" s="7" t="n">
        <v>1</v>
      </c>
      <c r="I100" s="22" t="n">
        <v>943.95</v>
      </c>
      <c r="J100" s="23" t="n">
        <v>0.15</v>
      </c>
      <c r="K100" s="22" t="n">
        <v>597.33</v>
      </c>
      <c r="L100" s="22" t="n">
        <v>802.36</v>
      </c>
      <c r="M100" s="7" t="inlineStr">
        <is>
          <t>Delivered</t>
        </is>
      </c>
      <c r="N100" s="11" t="n">
        <v>2</v>
      </c>
      <c r="O100" s="24">
        <f>I100*H100</f>
        <v/>
      </c>
      <c r="P100" s="24">
        <f>O100*(1-IF(J100="",0,J100))</f>
        <v/>
      </c>
      <c r="Q100" s="24">
        <f>P100-K100</f>
        <v/>
      </c>
      <c r="R100" s="13">
        <f>IF(M100="Delivered",1,0)</f>
        <v/>
      </c>
    </row>
    <row r="101">
      <c r="A101" s="7" t="inlineStr">
        <is>
          <t>ORD5097</t>
        </is>
      </c>
      <c r="B101" s="21" t="n">
        <v>46278</v>
      </c>
      <c r="C101" s="7" t="inlineStr">
        <is>
          <t>C1019</t>
        </is>
      </c>
      <c r="D101" s="7" t="inlineStr">
        <is>
          <t>East</t>
        </is>
      </c>
      <c r="E101" s="7" t="inlineStr">
        <is>
          <t>Marketplace</t>
        </is>
      </c>
      <c r="F101" s="7" t="inlineStr">
        <is>
          <t>Electronics</t>
        </is>
      </c>
      <c r="G101" s="7" t="inlineStr">
        <is>
          <t>Bluetooth Speaker</t>
        </is>
      </c>
      <c r="H101" s="7" t="n">
        <v>1</v>
      </c>
      <c r="I101" s="22" t="n">
        <v>1888.95</v>
      </c>
      <c r="J101" s="23" t="n">
        <v>0.2</v>
      </c>
      <c r="K101" s="22" t="n">
        <v>1054.79</v>
      </c>
      <c r="L101" s="22" t="n">
        <v>1511.16</v>
      </c>
      <c r="M101" s="7" t="inlineStr">
        <is>
          <t>Delivered</t>
        </is>
      </c>
      <c r="N101" s="11" t="n">
        <v>4</v>
      </c>
      <c r="O101" s="24">
        <f>I101*H101</f>
        <v/>
      </c>
      <c r="P101" s="24">
        <f>O101*(1-IF(J101="",0,J101))</f>
        <v/>
      </c>
      <c r="Q101" s="24">
        <f>P101-K101</f>
        <v/>
      </c>
      <c r="R101" s="13">
        <f>IF(M101="Delivered",1,0)</f>
        <v/>
      </c>
    </row>
    <row r="102">
      <c r="A102" s="7" t="inlineStr">
        <is>
          <t>ORD5098</t>
        </is>
      </c>
      <c r="B102" s="21" t="n">
        <v>46279</v>
      </c>
      <c r="C102" s="7" t="inlineStr">
        <is>
          <t>C1017</t>
        </is>
      </c>
      <c r="D102" s="7" t="inlineStr">
        <is>
          <t>West</t>
        </is>
      </c>
      <c r="E102" s="7" t="inlineStr">
        <is>
          <t>Marketplace</t>
        </is>
      </c>
      <c r="F102" s="7" t="inlineStr">
        <is>
          <t>Electronics</t>
        </is>
      </c>
      <c r="G102" s="7" t="inlineStr">
        <is>
          <t>Wireless Earbuds</t>
        </is>
      </c>
      <c r="H102" s="7" t="n">
        <v>1</v>
      </c>
      <c r="I102" s="22" t="n">
        <v>2499</v>
      </c>
      <c r="J102" s="23" t="n">
        <v>0.05</v>
      </c>
      <c r="K102" s="22" t="n">
        <v>1461.63</v>
      </c>
      <c r="L102" s="22" t="n">
        <v>2374.05</v>
      </c>
      <c r="M102" s="7" t="inlineStr">
        <is>
          <t>Delivered</t>
        </is>
      </c>
      <c r="N102" s="11" t="n">
        <v>4</v>
      </c>
      <c r="O102" s="24">
        <f>I102*H102</f>
        <v/>
      </c>
      <c r="P102" s="24">
        <f>O102*(1-IF(J102="",0,J102))</f>
        <v/>
      </c>
      <c r="Q102" s="24">
        <f>P102-K102</f>
        <v/>
      </c>
      <c r="R102" s="13">
        <f>IF(M102="Delivered",1,0)</f>
        <v/>
      </c>
    </row>
    <row r="103">
      <c r="A103" s="7" t="inlineStr">
        <is>
          <t>ORD5099</t>
        </is>
      </c>
      <c r="B103" s="21" t="n">
        <v>46280</v>
      </c>
      <c r="C103" s="7" t="inlineStr">
        <is>
          <t>C1033</t>
        </is>
      </c>
      <c r="D103" s="7" t="inlineStr">
        <is>
          <t>West</t>
        </is>
      </c>
      <c r="E103" s="7" t="inlineStr">
        <is>
          <t>Website</t>
        </is>
      </c>
      <c r="F103" s="7" t="inlineStr">
        <is>
          <t>Fashion</t>
        </is>
      </c>
      <c r="G103" s="7" t="inlineStr">
        <is>
          <t>Running Shoes</t>
        </is>
      </c>
      <c r="H103" s="7" t="n">
        <v>1</v>
      </c>
      <c r="I103" s="22" t="n">
        <v>2799</v>
      </c>
      <c r="J103" s="23" t="n">
        <v>0</v>
      </c>
      <c r="K103" s="22" t="n">
        <v>1416.61</v>
      </c>
      <c r="L103" s="22" t="n">
        <v>2799</v>
      </c>
      <c r="M103" s="7" t="inlineStr">
        <is>
          <t>Delivered</t>
        </is>
      </c>
      <c r="N103" s="11" t="n">
        <v>4</v>
      </c>
      <c r="O103" s="24">
        <f>I103*H103</f>
        <v/>
      </c>
      <c r="P103" s="24">
        <f>O103*(1-IF(J103="",0,J103))</f>
        <v/>
      </c>
      <c r="Q103" s="24">
        <f>P103-K103</f>
        <v/>
      </c>
      <c r="R103" s="13">
        <f>IF(M103="Delivered",1,0)</f>
        <v/>
      </c>
    </row>
    <row r="104">
      <c r="A104" s="7" t="inlineStr">
        <is>
          <t>ORD5100</t>
        </is>
      </c>
      <c r="B104" s="21" t="n">
        <v>46281</v>
      </c>
      <c r="C104" s="7" t="inlineStr">
        <is>
          <t>C1026</t>
        </is>
      </c>
      <c r="D104" s="7" t="inlineStr">
        <is>
          <t>West</t>
        </is>
      </c>
      <c r="E104" s="7" t="inlineStr">
        <is>
          <t>Website</t>
        </is>
      </c>
      <c r="F104" s="7" t="inlineStr">
        <is>
          <t>Fashion</t>
        </is>
      </c>
      <c r="G104" s="7" t="inlineStr">
        <is>
          <t>Running Shoes</t>
        </is>
      </c>
      <c r="H104" s="7" t="n">
        <v>2</v>
      </c>
      <c r="I104" s="22" t="n">
        <v>2715.03</v>
      </c>
      <c r="J104" s="23" t="n">
        <v>0</v>
      </c>
      <c r="K104" s="22" t="n">
        <v>3518.91</v>
      </c>
      <c r="L104" s="22" t="n">
        <v>5430.06</v>
      </c>
      <c r="M104" s="7" t="inlineStr">
        <is>
          <t>Delivered</t>
        </is>
      </c>
      <c r="N104" s="11" t="n">
        <v>4</v>
      </c>
      <c r="O104" s="24">
        <f>I104*H104</f>
        <v/>
      </c>
      <c r="P104" s="24">
        <f>O104*(1-IF(J104="",0,J104))</f>
        <v/>
      </c>
      <c r="Q104" s="24">
        <f>P104-K104</f>
        <v/>
      </c>
      <c r="R104" s="13">
        <f>IF(M104="Delivered",1,0)</f>
        <v/>
      </c>
    </row>
    <row r="105">
      <c r="A105" s="7" t="inlineStr">
        <is>
          <t>ORD5101</t>
        </is>
      </c>
      <c r="B105" s="21" t="n">
        <v>46282</v>
      </c>
      <c r="C105" s="7" t="inlineStr">
        <is>
          <t>C1038</t>
        </is>
      </c>
      <c r="D105" s="7" t="inlineStr">
        <is>
          <t>North</t>
        </is>
      </c>
      <c r="E105" s="7" t="inlineStr">
        <is>
          <t>Mobile App</t>
        </is>
      </c>
      <c r="F105" s="7" t="inlineStr">
        <is>
          <t>Sports</t>
        </is>
      </c>
      <c r="G105" s="7" t="inlineStr">
        <is>
          <t>Cricket Kit</t>
        </is>
      </c>
      <c r="H105" s="7" t="n">
        <v>2</v>
      </c>
      <c r="I105" s="22" t="n">
        <v>3394.03</v>
      </c>
      <c r="J105" s="23" t="n">
        <v>0.05</v>
      </c>
      <c r="K105" s="22" t="n">
        <v>3901.63</v>
      </c>
      <c r="L105" s="22" t="n">
        <v>6448.66</v>
      </c>
      <c r="M105" s="7" t="inlineStr">
        <is>
          <t>Returned</t>
        </is>
      </c>
      <c r="N105" s="15" t="n"/>
      <c r="O105" s="24">
        <f>I105*H105</f>
        <v/>
      </c>
      <c r="P105" s="24">
        <f>O105*(1-IF(J105="",0,J105))</f>
        <v/>
      </c>
      <c r="Q105" s="24">
        <f>P105-K105</f>
        <v/>
      </c>
      <c r="R105" s="13">
        <f>IF(M105="Delivered",1,0)</f>
        <v/>
      </c>
    </row>
    <row r="106">
      <c r="A106" s="7" t="inlineStr">
        <is>
          <t>ORD5102</t>
        </is>
      </c>
      <c r="B106" s="21" t="n">
        <v>46283</v>
      </c>
      <c r="C106" s="7" t="inlineStr">
        <is>
          <t>C1039</t>
        </is>
      </c>
      <c r="D106" s="7" t="inlineStr">
        <is>
          <t>West</t>
        </is>
      </c>
      <c r="E106" s="7" t="inlineStr">
        <is>
          <t>Mobile App</t>
        </is>
      </c>
      <c r="F106" s="7" t="inlineStr">
        <is>
          <t>Sports</t>
        </is>
      </c>
      <c r="G106" s="7" t="inlineStr">
        <is>
          <t>Yoga Mat</t>
        </is>
      </c>
      <c r="H106" s="7" t="n">
        <v>1</v>
      </c>
      <c r="I106" s="22" t="n">
        <v>899</v>
      </c>
      <c r="J106" s="23" t="n">
        <v>0.1</v>
      </c>
      <c r="K106" s="22" t="n">
        <v>666.4</v>
      </c>
      <c r="L106" s="22" t="n">
        <v>809.1</v>
      </c>
      <c r="M106" s="7" t="inlineStr">
        <is>
          <t>Delivered</t>
        </is>
      </c>
      <c r="N106" s="11" t="n">
        <v>2</v>
      </c>
      <c r="O106" s="24">
        <f>I106*H106</f>
        <v/>
      </c>
      <c r="P106" s="24">
        <f>O106*(1-IF(J106="",0,J106))</f>
        <v/>
      </c>
      <c r="Q106" s="24">
        <f>P106-K106</f>
        <v/>
      </c>
      <c r="R106" s="13">
        <f>IF(M106="Delivered",1,0)</f>
        <v/>
      </c>
    </row>
    <row r="107">
      <c r="A107" s="7" t="inlineStr">
        <is>
          <t>ORD5103</t>
        </is>
      </c>
      <c r="B107" s="21" t="n">
        <v>46284</v>
      </c>
      <c r="C107" s="7" t="inlineStr">
        <is>
          <t>C1043</t>
        </is>
      </c>
      <c r="D107" s="7" t="inlineStr">
        <is>
          <t>North</t>
        </is>
      </c>
      <c r="E107" s="7" t="inlineStr">
        <is>
          <t>Marketplace</t>
        </is>
      </c>
      <c r="F107" s="7" t="inlineStr">
        <is>
          <t>Sports</t>
        </is>
      </c>
      <c r="G107" s="7" t="inlineStr">
        <is>
          <t>Yoga Mat</t>
        </is>
      </c>
      <c r="H107" s="7" t="n">
        <v>2</v>
      </c>
      <c r="I107" s="22" t="n">
        <v>916.98</v>
      </c>
      <c r="J107" s="25" t="n"/>
      <c r="K107" s="22" t="n">
        <v>1333.29</v>
      </c>
      <c r="L107" s="22" t="n">
        <v>1558.87</v>
      </c>
      <c r="M107" s="7" t="inlineStr">
        <is>
          <t>Delivered</t>
        </is>
      </c>
      <c r="N107" s="11" t="n">
        <v>5</v>
      </c>
      <c r="O107" s="24">
        <f>I107*H107</f>
        <v/>
      </c>
      <c r="P107" s="24">
        <f>O107*(1-IF(J107="",0,J107))</f>
        <v/>
      </c>
      <c r="Q107" s="24">
        <f>P107-K107</f>
        <v/>
      </c>
      <c r="R107" s="13">
        <f>IF(M107="Delivered",1,0)</f>
        <v/>
      </c>
    </row>
    <row r="108">
      <c r="A108" s="7" t="inlineStr">
        <is>
          <t>ORD5104</t>
        </is>
      </c>
      <c r="B108" s="21" t="n">
        <v>46285</v>
      </c>
      <c r="C108" s="7" t="inlineStr">
        <is>
          <t>C1012</t>
        </is>
      </c>
      <c r="D108" s="7" t="inlineStr">
        <is>
          <t>South</t>
        </is>
      </c>
      <c r="E108" s="7" t="inlineStr">
        <is>
          <t>Mobile App</t>
        </is>
      </c>
      <c r="F108" s="7" t="inlineStr">
        <is>
          <t>Electronics</t>
        </is>
      </c>
      <c r="G108" s="7" t="inlineStr">
        <is>
          <t>Bluetooth Speaker</t>
        </is>
      </c>
      <c r="H108" s="7" t="n">
        <v>4</v>
      </c>
      <c r="I108" s="22" t="n">
        <v>1888.95</v>
      </c>
      <c r="J108" s="23" t="n">
        <v>0.05</v>
      </c>
      <c r="K108" s="22" t="n">
        <v>3798.17</v>
      </c>
      <c r="L108" s="22" t="n">
        <v>7178.01</v>
      </c>
      <c r="M108" s="7" t="inlineStr">
        <is>
          <t>Delivered</t>
        </is>
      </c>
      <c r="N108" s="11" t="n">
        <v>3</v>
      </c>
      <c r="O108" s="24">
        <f>I108*H108</f>
        <v/>
      </c>
      <c r="P108" s="24">
        <f>O108*(1-IF(J108="",0,J108))</f>
        <v/>
      </c>
      <c r="Q108" s="24">
        <f>P108-K108</f>
        <v/>
      </c>
      <c r="R108" s="13">
        <f>IF(M108="Delivered",1,0)</f>
        <v/>
      </c>
    </row>
    <row r="109">
      <c r="A109" s="7" t="inlineStr">
        <is>
          <t>ORD5105</t>
        </is>
      </c>
      <c r="B109" s="21" t="n">
        <v>46286</v>
      </c>
      <c r="C109" s="7" t="inlineStr">
        <is>
          <t>C1012</t>
        </is>
      </c>
      <c r="D109" s="7" t="inlineStr">
        <is>
          <t>East</t>
        </is>
      </c>
      <c r="E109" s="7" t="inlineStr">
        <is>
          <t>Marketplace</t>
        </is>
      </c>
      <c r="F109" s="7" t="inlineStr">
        <is>
          <t>Fashion</t>
        </is>
      </c>
      <c r="G109" s="7" t="inlineStr">
        <is>
          <t>Running Shoes</t>
        </is>
      </c>
      <c r="H109" s="7" t="n">
        <v>1</v>
      </c>
      <c r="I109" s="22" t="n">
        <v>2715.03</v>
      </c>
      <c r="J109" s="23" t="n">
        <v>0.1</v>
      </c>
      <c r="K109" s="22" t="n">
        <v>1347.38</v>
      </c>
      <c r="L109" s="22" t="n">
        <v>2443.53</v>
      </c>
      <c r="M109" s="7" t="inlineStr">
        <is>
          <t>Delivered</t>
        </is>
      </c>
      <c r="N109" s="11" t="n">
        <v>3</v>
      </c>
      <c r="O109" s="24">
        <f>I109*H109</f>
        <v/>
      </c>
      <c r="P109" s="24">
        <f>O109*(1-IF(J109="",0,J109))</f>
        <v/>
      </c>
      <c r="Q109" s="24">
        <f>P109-K109</f>
        <v/>
      </c>
      <c r="R109" s="13">
        <f>IF(M109="Delivered",1,0)</f>
        <v/>
      </c>
    </row>
    <row r="110">
      <c r="A110" s="7" t="inlineStr">
        <is>
          <t>ORD5106</t>
        </is>
      </c>
      <c r="B110" s="21" t="n">
        <v>46287</v>
      </c>
      <c r="C110" s="7" t="inlineStr">
        <is>
          <t>C1017</t>
        </is>
      </c>
      <c r="D110" s="7" t="inlineStr">
        <is>
          <t>North</t>
        </is>
      </c>
      <c r="E110" s="7" t="inlineStr">
        <is>
          <t>Mobile App</t>
        </is>
      </c>
      <c r="F110" s="7" t="inlineStr">
        <is>
          <t>Home &amp; Kitchen</t>
        </is>
      </c>
      <c r="G110" s="7" t="inlineStr">
        <is>
          <t>Mixer Grinder</t>
        </is>
      </c>
      <c r="H110" s="7" t="n">
        <v>3</v>
      </c>
      <c r="I110" s="22" t="n">
        <v>3299</v>
      </c>
      <c r="J110" s="23" t="n">
        <v>0</v>
      </c>
      <c r="K110" s="22" t="n">
        <v>6925.11</v>
      </c>
      <c r="L110" s="22" t="n">
        <v>9897</v>
      </c>
      <c r="M110" s="7" t="inlineStr">
        <is>
          <t>Delivered</t>
        </is>
      </c>
      <c r="N110" s="11" t="n">
        <v>1</v>
      </c>
      <c r="O110" s="24">
        <f>I110*H110</f>
        <v/>
      </c>
      <c r="P110" s="24">
        <f>O110*(1-IF(J110="",0,J110))</f>
        <v/>
      </c>
      <c r="Q110" s="24">
        <f>P110-K110</f>
        <v/>
      </c>
      <c r="R110" s="13">
        <f>IF(M110="Delivered",1,0)</f>
        <v/>
      </c>
    </row>
    <row r="111">
      <c r="A111" s="7" t="inlineStr">
        <is>
          <t>ORD5107</t>
        </is>
      </c>
      <c r="B111" s="21" t="n">
        <v>46288</v>
      </c>
      <c r="C111" s="7" t="inlineStr">
        <is>
          <t>C1009</t>
        </is>
      </c>
      <c r="D111" s="7" t="inlineStr">
        <is>
          <t>South</t>
        </is>
      </c>
      <c r="E111" s="7" t="inlineStr">
        <is>
          <t>Mobile App</t>
        </is>
      </c>
      <c r="F111" s="7" t="inlineStr">
        <is>
          <t>Electronics</t>
        </is>
      </c>
      <c r="G111" s="7" t="inlineStr">
        <is>
          <t>Wireless Earbuds</t>
        </is>
      </c>
      <c r="H111" s="7" t="n">
        <v>2</v>
      </c>
      <c r="I111" s="22" t="n">
        <v>2548.98</v>
      </c>
      <c r="J111" s="23" t="n">
        <v>0.05</v>
      </c>
      <c r="K111" s="22" t="n">
        <v>2762.1</v>
      </c>
      <c r="L111" s="22" t="n">
        <v>4843.06</v>
      </c>
      <c r="M111" s="7" t="inlineStr">
        <is>
          <t>Delivered</t>
        </is>
      </c>
      <c r="N111" s="11" t="n">
        <v>5</v>
      </c>
      <c r="O111" s="24">
        <f>I111*H111</f>
        <v/>
      </c>
      <c r="P111" s="24">
        <f>O111*(1-IF(J111="",0,J111))</f>
        <v/>
      </c>
      <c r="Q111" s="24">
        <f>P111-K111</f>
        <v/>
      </c>
      <c r="R111" s="13">
        <f>IF(M111="Delivered",1,0)</f>
        <v/>
      </c>
    </row>
    <row r="112">
      <c r="A112" s="7" t="inlineStr">
        <is>
          <t>ORD5108</t>
        </is>
      </c>
      <c r="B112" s="21" t="n">
        <v>46289</v>
      </c>
      <c r="C112" s="7" t="inlineStr">
        <is>
          <t>C1013</t>
        </is>
      </c>
      <c r="D112" s="7" t="inlineStr">
        <is>
          <t>West</t>
        </is>
      </c>
      <c r="E112" s="7" t="inlineStr">
        <is>
          <t>Mobile App</t>
        </is>
      </c>
      <c r="F112" s="7" t="inlineStr">
        <is>
          <t>Home &amp; Kitchen</t>
        </is>
      </c>
      <c r="G112" s="7" t="inlineStr">
        <is>
          <t>Mixer Grinder</t>
        </is>
      </c>
      <c r="H112" s="7" t="n">
        <v>3</v>
      </c>
      <c r="I112" s="22" t="n">
        <v>3299</v>
      </c>
      <c r="J112" s="23" t="n">
        <v>0.05</v>
      </c>
      <c r="K112" s="22" t="n">
        <v>5741.03</v>
      </c>
      <c r="L112" s="22" t="n">
        <v>9402.15</v>
      </c>
      <c r="M112" s="7" t="inlineStr">
        <is>
          <t>Delivered</t>
        </is>
      </c>
      <c r="N112" s="11" t="n">
        <v>3</v>
      </c>
      <c r="O112" s="24">
        <f>I112*H112</f>
        <v/>
      </c>
      <c r="P112" s="24">
        <f>O112*(1-IF(J112="",0,J112))</f>
        <v/>
      </c>
      <c r="Q112" s="24">
        <f>P112-K112</f>
        <v/>
      </c>
      <c r="R112" s="13">
        <f>IF(M112="Delivered",1,0)</f>
        <v/>
      </c>
    </row>
    <row r="113">
      <c r="A113" s="7" t="inlineStr">
        <is>
          <t>ORD5109</t>
        </is>
      </c>
      <c r="B113" s="21" t="n">
        <v>46290</v>
      </c>
      <c r="C113" s="7" t="inlineStr">
        <is>
          <t>C1056</t>
        </is>
      </c>
      <c r="D113" s="7" t="inlineStr">
        <is>
          <t>East</t>
        </is>
      </c>
      <c r="E113" s="7" t="inlineStr">
        <is>
          <t>Website</t>
        </is>
      </c>
      <c r="F113" s="7" t="inlineStr">
        <is>
          <t>Home &amp; Kitchen</t>
        </is>
      </c>
      <c r="G113" s="7" t="inlineStr">
        <is>
          <t>Bedsheet Set</t>
        </is>
      </c>
      <c r="H113" s="7" t="n">
        <v>2</v>
      </c>
      <c r="I113" s="22" t="n">
        <v>1573.95</v>
      </c>
      <c r="J113" s="23" t="n">
        <v>0.05</v>
      </c>
      <c r="K113" s="22" t="n">
        <v>2169.95</v>
      </c>
      <c r="L113" s="22" t="n">
        <v>2990.51</v>
      </c>
      <c r="M113" s="7" t="inlineStr">
        <is>
          <t>Delivered</t>
        </is>
      </c>
      <c r="N113" s="11" t="n">
        <v>2</v>
      </c>
      <c r="O113" s="24">
        <f>I113*H113</f>
        <v/>
      </c>
      <c r="P113" s="24">
        <f>O113*(1-IF(J113="",0,J113))</f>
        <v/>
      </c>
      <c r="Q113" s="24">
        <f>P113-K113</f>
        <v/>
      </c>
      <c r="R113" s="13">
        <f>IF(M113="Delivered",1,0)</f>
        <v/>
      </c>
    </row>
    <row r="114">
      <c r="A114" s="7" t="inlineStr">
        <is>
          <t>ORD5110</t>
        </is>
      </c>
      <c r="B114" s="21" t="n">
        <v>46291</v>
      </c>
      <c r="C114" s="7" t="inlineStr">
        <is>
          <t>C1054</t>
        </is>
      </c>
      <c r="D114" s="7" t="inlineStr">
        <is>
          <t>Central</t>
        </is>
      </c>
      <c r="E114" s="7" t="inlineStr">
        <is>
          <t>Website</t>
        </is>
      </c>
      <c r="F114" s="7" t="inlineStr">
        <is>
          <t>Electronics</t>
        </is>
      </c>
      <c r="G114" s="7" t="inlineStr">
        <is>
          <t>Wireless Earbuds</t>
        </is>
      </c>
      <c r="H114" s="7" t="n">
        <v>1</v>
      </c>
      <c r="I114" s="22" t="n">
        <v>2623.95</v>
      </c>
      <c r="J114" s="23" t="n">
        <v>0</v>
      </c>
      <c r="K114" s="22" t="n">
        <v>1974.3</v>
      </c>
      <c r="L114" s="22" t="n">
        <v>2623.95</v>
      </c>
      <c r="M114" s="7" t="inlineStr">
        <is>
          <t>Returned</t>
        </is>
      </c>
      <c r="N114" s="15" t="n"/>
      <c r="O114" s="24">
        <f>I114*H114</f>
        <v/>
      </c>
      <c r="P114" s="24">
        <f>O114*(1-IF(J114="",0,J114))</f>
        <v/>
      </c>
      <c r="Q114" s="24">
        <f>P114-K114</f>
        <v/>
      </c>
      <c r="R114" s="13">
        <f>IF(M114="Delivered",1,0)</f>
        <v/>
      </c>
    </row>
    <row r="115">
      <c r="A115" s="7" t="inlineStr">
        <is>
          <t>ORD5111</t>
        </is>
      </c>
      <c r="B115" s="21" t="n">
        <v>46292</v>
      </c>
      <c r="C115" s="7" t="inlineStr">
        <is>
          <t>C1008</t>
        </is>
      </c>
      <c r="D115" s="7" t="inlineStr">
        <is>
          <t>South</t>
        </is>
      </c>
      <c r="E115" s="7" t="inlineStr">
        <is>
          <t>Mobile App</t>
        </is>
      </c>
      <c r="F115" s="7" t="inlineStr">
        <is>
          <t>Electronics</t>
        </is>
      </c>
      <c r="G115" s="7" t="inlineStr">
        <is>
          <t>Smart Watch</t>
        </is>
      </c>
      <c r="H115" s="7" t="n">
        <v>1</v>
      </c>
      <c r="I115" s="22" t="n">
        <v>3879.03</v>
      </c>
      <c r="J115" s="23" t="n">
        <v>0.2</v>
      </c>
      <c r="K115" s="22" t="n">
        <v>1921.41</v>
      </c>
      <c r="L115" s="22" t="n">
        <v>3103.22</v>
      </c>
      <c r="M115" s="7" t="inlineStr">
        <is>
          <t>Cancelled</t>
        </is>
      </c>
      <c r="N115" s="15" t="n"/>
      <c r="O115" s="24">
        <f>I115*H115</f>
        <v/>
      </c>
      <c r="P115" s="24">
        <f>O115*(1-IF(J115="",0,J115))</f>
        <v/>
      </c>
      <c r="Q115" s="24">
        <f>P115-K115</f>
        <v/>
      </c>
      <c r="R115" s="13">
        <f>IF(M115="Delivered",1,0)</f>
        <v/>
      </c>
    </row>
    <row r="116">
      <c r="A116" s="7" t="inlineStr">
        <is>
          <t>ORD5112</t>
        </is>
      </c>
      <c r="B116" s="21" t="n">
        <v>46293</v>
      </c>
      <c r="C116" s="7" t="inlineStr">
        <is>
          <t>C1023</t>
        </is>
      </c>
      <c r="D116" s="7" t="inlineStr">
        <is>
          <t>South</t>
        </is>
      </c>
      <c r="E116" s="7" t="inlineStr">
        <is>
          <t>Mobile App</t>
        </is>
      </c>
      <c r="F116" s="7" t="inlineStr">
        <is>
          <t>Electronics</t>
        </is>
      </c>
      <c r="G116" s="7" t="inlineStr">
        <is>
          <t>Smart Watch</t>
        </is>
      </c>
      <c r="H116" s="7" t="n">
        <v>2</v>
      </c>
      <c r="I116" s="22" t="n">
        <v>4198.95</v>
      </c>
      <c r="J116" s="23" t="n">
        <v>0.1</v>
      </c>
      <c r="K116" s="22" t="n">
        <v>4708.87</v>
      </c>
      <c r="L116" s="22" t="n">
        <v>7558.11</v>
      </c>
      <c r="M116" s="7" t="inlineStr">
        <is>
          <t>Delivered</t>
        </is>
      </c>
      <c r="N116" s="11" t="n">
        <v>4</v>
      </c>
      <c r="O116" s="24">
        <f>I116*H116</f>
        <v/>
      </c>
      <c r="P116" s="24">
        <f>O116*(1-IF(J116="",0,J116))</f>
        <v/>
      </c>
      <c r="Q116" s="24">
        <f>P116-K116</f>
        <v/>
      </c>
      <c r="R116" s="13">
        <f>IF(M116="Delivered",1,0)</f>
        <v/>
      </c>
    </row>
    <row r="117">
      <c r="A117" s="7" t="inlineStr">
        <is>
          <t>ORD5113</t>
        </is>
      </c>
      <c r="B117" s="21" t="n">
        <v>46266</v>
      </c>
      <c r="C117" s="7" t="inlineStr">
        <is>
          <t>C1026</t>
        </is>
      </c>
      <c r="D117" s="7" t="inlineStr">
        <is>
          <t>Central</t>
        </is>
      </c>
      <c r="E117" s="7" t="inlineStr">
        <is>
          <t>Mobile App</t>
        </is>
      </c>
      <c r="F117" s="7" t="inlineStr">
        <is>
          <t>Sports</t>
        </is>
      </c>
      <c r="G117" s="7" t="inlineStr">
        <is>
          <t>Dumbbell Set</t>
        </is>
      </c>
      <c r="H117" s="7" t="n">
        <v>1</v>
      </c>
      <c r="I117" s="22" t="n">
        <v>2623.95</v>
      </c>
      <c r="J117" s="23" t="n">
        <v>0.2</v>
      </c>
      <c r="K117" s="22" t="n">
        <v>1446.02</v>
      </c>
      <c r="L117" s="22" t="n">
        <v>2099.16</v>
      </c>
      <c r="M117" s="7" t="inlineStr">
        <is>
          <t>Delivered</t>
        </is>
      </c>
      <c r="N117" s="11" t="n">
        <v>1</v>
      </c>
      <c r="O117" s="24">
        <f>I117*H117</f>
        <v/>
      </c>
      <c r="P117" s="24">
        <f>O117*(1-IF(J117="",0,J117))</f>
        <v/>
      </c>
      <c r="Q117" s="24">
        <f>P117-K117</f>
        <v/>
      </c>
      <c r="R117" s="13">
        <f>IF(M117="Delivered",1,0)</f>
        <v/>
      </c>
    </row>
    <row r="118">
      <c r="A118" s="7" t="inlineStr">
        <is>
          <t>ORD5114</t>
        </is>
      </c>
      <c r="B118" s="21" t="n">
        <v>46267</v>
      </c>
      <c r="C118" s="7" t="inlineStr">
        <is>
          <t>C1044</t>
        </is>
      </c>
      <c r="D118" s="7" t="inlineStr">
        <is>
          <t>East</t>
        </is>
      </c>
      <c r="E118" s="7" t="inlineStr">
        <is>
          <t>Mobile App</t>
        </is>
      </c>
      <c r="F118" s="7" t="inlineStr">
        <is>
          <t>Sports</t>
        </is>
      </c>
      <c r="G118" s="7" t="inlineStr">
        <is>
          <t>Cricket Kit</t>
        </is>
      </c>
      <c r="H118" s="7" t="n">
        <v>1</v>
      </c>
      <c r="I118" s="22" t="n">
        <v>3499</v>
      </c>
      <c r="J118" s="23" t="n">
        <v>0.05</v>
      </c>
      <c r="K118" s="22" t="n">
        <v>2034.17</v>
      </c>
      <c r="L118" s="22" t="n">
        <v>3324.05</v>
      </c>
      <c r="M118" s="7" t="inlineStr">
        <is>
          <t>Delivered</t>
        </is>
      </c>
      <c r="N118" s="11" t="n">
        <v>4</v>
      </c>
      <c r="O118" s="24">
        <f>I118*H118</f>
        <v/>
      </c>
      <c r="P118" s="24">
        <f>O118*(1-IF(J118="",0,J118))</f>
        <v/>
      </c>
      <c r="Q118" s="24">
        <f>P118-K118</f>
        <v/>
      </c>
      <c r="R118" s="13">
        <f>IF(M118="Delivered",1,0)</f>
        <v/>
      </c>
    </row>
    <row r="119">
      <c r="A119" s="7" t="inlineStr">
        <is>
          <t>ORD5115</t>
        </is>
      </c>
      <c r="B119" s="21" t="n">
        <v>46268</v>
      </c>
      <c r="C119" s="7" t="inlineStr">
        <is>
          <t>C1043</t>
        </is>
      </c>
      <c r="D119" s="7" t="inlineStr">
        <is>
          <t>East</t>
        </is>
      </c>
      <c r="E119" s="7" t="inlineStr">
        <is>
          <t>Marketplace</t>
        </is>
      </c>
      <c r="F119" s="7" t="inlineStr">
        <is>
          <t>Home &amp; Kitchen</t>
        </is>
      </c>
      <c r="G119" s="7" t="inlineStr">
        <is>
          <t>Air Fryer</t>
        </is>
      </c>
      <c r="H119" s="7" t="n">
        <v>1</v>
      </c>
      <c r="I119" s="22" t="n">
        <v>5608.98</v>
      </c>
      <c r="J119" s="23" t="n">
        <v>0.2</v>
      </c>
      <c r="K119" s="22" t="n">
        <v>3140.29</v>
      </c>
      <c r="L119" s="22" t="n">
        <v>4487.18</v>
      </c>
      <c r="M119" s="7" t="inlineStr">
        <is>
          <t>Delivered</t>
        </is>
      </c>
      <c r="N119" s="11" t="n">
        <v>1</v>
      </c>
      <c r="O119" s="24">
        <f>I119*H119</f>
        <v/>
      </c>
      <c r="P119" s="24">
        <f>O119*(1-IF(J119="",0,J119))</f>
        <v/>
      </c>
      <c r="Q119" s="24">
        <f>P119-K119</f>
        <v/>
      </c>
      <c r="R119" s="13">
        <f>IF(M119="Delivered",1,0)</f>
        <v/>
      </c>
    </row>
    <row r="120">
      <c r="A120" s="7" t="inlineStr">
        <is>
          <t>ORD5116</t>
        </is>
      </c>
      <c r="B120" s="21" t="n">
        <v>46269</v>
      </c>
      <c r="C120" s="7" t="inlineStr">
        <is>
          <t>C1054</t>
        </is>
      </c>
      <c r="D120" s="7" t="inlineStr">
        <is>
          <t>West</t>
        </is>
      </c>
      <c r="E120" s="7" t="inlineStr">
        <is>
          <t>Mobile App</t>
        </is>
      </c>
      <c r="F120" s="7" t="inlineStr">
        <is>
          <t>Sports</t>
        </is>
      </c>
      <c r="G120" s="7" t="inlineStr">
        <is>
          <t>Dumbbell Set</t>
        </is>
      </c>
      <c r="H120" s="7" t="n">
        <v>4</v>
      </c>
      <c r="I120" s="22" t="n">
        <v>2623.95</v>
      </c>
      <c r="J120" s="23" t="n">
        <v>0</v>
      </c>
      <c r="K120" s="22" t="n">
        <v>6318.41</v>
      </c>
      <c r="L120" s="22" t="n">
        <v>10495.8</v>
      </c>
      <c r="M120" s="7" t="inlineStr">
        <is>
          <t>Delivered</t>
        </is>
      </c>
      <c r="N120" s="11" t="n">
        <v>4</v>
      </c>
      <c r="O120" s="24">
        <f>I120*H120</f>
        <v/>
      </c>
      <c r="P120" s="24">
        <f>O120*(1-IF(J120="",0,J120))</f>
        <v/>
      </c>
      <c r="Q120" s="24">
        <f>P120-K120</f>
        <v/>
      </c>
      <c r="R120" s="13">
        <f>IF(M120="Delivered",1,0)</f>
        <v/>
      </c>
    </row>
    <row r="121">
      <c r="A121" s="7" t="inlineStr">
        <is>
          <t>ORD5117</t>
        </is>
      </c>
      <c r="B121" s="21" t="n">
        <v>46270</v>
      </c>
      <c r="C121" s="7" t="inlineStr">
        <is>
          <t>C1038</t>
        </is>
      </c>
      <c r="D121" s="7" t="inlineStr">
        <is>
          <t>South</t>
        </is>
      </c>
      <c r="E121" s="7" t="inlineStr">
        <is>
          <t>Marketplace</t>
        </is>
      </c>
      <c r="F121" s="7" t="inlineStr">
        <is>
          <t>Home &amp; Kitchen</t>
        </is>
      </c>
      <c r="G121" s="7" t="inlineStr">
        <is>
          <t>Bedsheet Set</t>
        </is>
      </c>
      <c r="H121" s="7" t="n">
        <v>1</v>
      </c>
      <c r="I121" s="22" t="n">
        <v>1499</v>
      </c>
      <c r="J121" s="23" t="n">
        <v>0</v>
      </c>
      <c r="K121" s="22" t="n">
        <v>775.63</v>
      </c>
      <c r="L121" s="22" t="n">
        <v>1499</v>
      </c>
      <c r="M121" s="7" t="inlineStr">
        <is>
          <t>Returned</t>
        </is>
      </c>
      <c r="N121" s="15" t="n"/>
      <c r="O121" s="24">
        <f>I121*H121</f>
        <v/>
      </c>
      <c r="P121" s="24">
        <f>O121*(1-IF(J121="",0,J121))</f>
        <v/>
      </c>
      <c r="Q121" s="24">
        <f>P121-K121</f>
        <v/>
      </c>
      <c r="R121" s="13">
        <f>IF(M121="Delivered",1,0)</f>
        <v/>
      </c>
    </row>
    <row r="122">
      <c r="A122" s="7" t="inlineStr">
        <is>
          <t>ORD5118</t>
        </is>
      </c>
      <c r="B122" s="21" t="n">
        <v>46271</v>
      </c>
      <c r="C122" s="7" t="inlineStr">
        <is>
          <t>C1010</t>
        </is>
      </c>
      <c r="D122" s="7" t="inlineStr">
        <is>
          <t>West</t>
        </is>
      </c>
      <c r="E122" s="7" t="inlineStr">
        <is>
          <t>Website</t>
        </is>
      </c>
      <c r="F122" s="7" t="inlineStr">
        <is>
          <t>Fashion</t>
        </is>
      </c>
      <c r="G122" s="7" t="inlineStr">
        <is>
          <t>Running Shoes</t>
        </is>
      </c>
      <c r="H122" s="7" t="n">
        <v>1</v>
      </c>
      <c r="I122" s="22" t="n">
        <v>2938.95</v>
      </c>
      <c r="J122" s="23" t="n">
        <v>0.2</v>
      </c>
      <c r="K122" s="22" t="n">
        <v>2046.24</v>
      </c>
      <c r="L122" s="22" t="n">
        <v>2351.16</v>
      </c>
      <c r="M122" s="7" t="inlineStr">
        <is>
          <t>Delivered</t>
        </is>
      </c>
      <c r="N122" s="11" t="n">
        <v>4</v>
      </c>
      <c r="O122" s="24">
        <f>I122*H122</f>
        <v/>
      </c>
      <c r="P122" s="24">
        <f>O122*(1-IF(J122="",0,J122))</f>
        <v/>
      </c>
      <c r="Q122" s="24">
        <f>P122-K122</f>
        <v/>
      </c>
      <c r="R122" s="13">
        <f>IF(M122="Delivered",1,0)</f>
        <v/>
      </c>
    </row>
    <row r="123">
      <c r="A123" s="7" t="inlineStr">
        <is>
          <t>ORD5119</t>
        </is>
      </c>
      <c r="B123" s="21" t="n">
        <v>46272</v>
      </c>
      <c r="C123" s="7" t="inlineStr">
        <is>
          <t>C1045</t>
        </is>
      </c>
      <c r="D123" s="7" t="inlineStr">
        <is>
          <t>North</t>
        </is>
      </c>
      <c r="E123" s="7" t="inlineStr">
        <is>
          <t>Mobile App</t>
        </is>
      </c>
      <c r="F123" s="7" t="inlineStr">
        <is>
          <t>Home &amp; Kitchen</t>
        </is>
      </c>
      <c r="G123" s="7" t="inlineStr">
        <is>
          <t>Air Fryer</t>
        </is>
      </c>
      <c r="H123" s="7" t="n">
        <v>4</v>
      </c>
      <c r="I123" s="22" t="n">
        <v>5499</v>
      </c>
      <c r="J123" s="23" t="n">
        <v>0.1</v>
      </c>
      <c r="K123" s="22" t="n">
        <v>11113.5</v>
      </c>
      <c r="L123" s="22" t="n">
        <v>19796.4</v>
      </c>
      <c r="M123" s="7" t="inlineStr">
        <is>
          <t>Delivered</t>
        </is>
      </c>
      <c r="N123" s="11" t="n">
        <v>4</v>
      </c>
      <c r="O123" s="24">
        <f>I123*H123</f>
        <v/>
      </c>
      <c r="P123" s="24">
        <f>O123*(1-IF(J123="",0,J123))</f>
        <v/>
      </c>
      <c r="Q123" s="24">
        <f>P123-K123</f>
        <v/>
      </c>
      <c r="R123" s="13">
        <f>IF(M123="Delivered",1,0)</f>
        <v/>
      </c>
    </row>
    <row r="124">
      <c r="A124" s="7" t="inlineStr">
        <is>
          <t>ORD5119</t>
        </is>
      </c>
      <c r="B124" s="21" t="n">
        <v>46273</v>
      </c>
      <c r="C124" s="7" t="inlineStr">
        <is>
          <t>C1001</t>
        </is>
      </c>
      <c r="D124" s="7" t="inlineStr">
        <is>
          <t>Central</t>
        </is>
      </c>
      <c r="E124" s="7" t="inlineStr">
        <is>
          <t>Mobile App</t>
        </is>
      </c>
      <c r="F124" s="7" t="inlineStr">
        <is>
          <t>Electronics</t>
        </is>
      </c>
      <c r="G124" s="7" t="inlineStr">
        <is>
          <t>Smart Watch</t>
        </is>
      </c>
      <c r="H124" s="7" t="n">
        <v>1</v>
      </c>
      <c r="I124" s="22" t="n">
        <v>3879.03</v>
      </c>
      <c r="J124" s="23" t="n">
        <v>0.2</v>
      </c>
      <c r="K124" s="22" t="n">
        <v>2147.56</v>
      </c>
      <c r="L124" s="22" t="n">
        <v>3103.22</v>
      </c>
      <c r="M124" s="7" t="inlineStr">
        <is>
          <t>Returned</t>
        </is>
      </c>
      <c r="N124" s="15" t="n"/>
      <c r="O124" s="24">
        <f>I124*H124</f>
        <v/>
      </c>
      <c r="P124" s="24">
        <f>O124*(1-IF(J124="",0,J124))</f>
        <v/>
      </c>
      <c r="Q124" s="24">
        <f>P124-K124</f>
        <v/>
      </c>
      <c r="R124" s="13">
        <f>IF(M124="Delivered",1,0)</f>
        <v/>
      </c>
    </row>
  </sheetData>
  <mergeCells count="2">
    <mergeCell ref="A2:R2"/>
    <mergeCell ref="A1:R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48" customWidth="1" min="3" max="3"/>
    <col width="3" customWidth="1" min="4" max="4"/>
    <col width="20" customWidth="1" min="5" max="5"/>
    <col width="22" customWidth="1" min="6" max="6"/>
    <col width="22" customWidth="1" min="7" max="7"/>
  </cols>
  <sheetData>
    <row r="1" ht="28" customHeight="1">
      <c r="A1" s="1" t="inlineStr">
        <is>
          <t>ANALYSIS &amp; KPI SUMMARY</t>
        </is>
      </c>
    </row>
    <row r="2" ht="30" customHeight="1">
      <c r="A2" s="2" t="inlineStr">
        <is>
          <t>Use formulas, PivotTables or SUMIFS/COUNTIFS. Clearly define what is included in sales and rates.</t>
        </is>
      </c>
    </row>
    <row r="4" ht="28" customHeight="1">
      <c r="A4" s="6" t="inlineStr">
        <is>
          <t>KPI</t>
        </is>
      </c>
      <c r="B4" s="6" t="inlineStr">
        <is>
          <t>Value</t>
        </is>
      </c>
      <c r="C4" s="6" t="inlineStr">
        <is>
          <t>Definition / notes</t>
        </is>
      </c>
      <c r="D4" s="6" t="inlineStr"/>
      <c r="E4" s="6" t="inlineStr">
        <is>
          <t>Breakdown</t>
        </is>
      </c>
      <c r="F4" s="6" t="inlineStr">
        <is>
          <t>Net Sales (INR)</t>
        </is>
      </c>
      <c r="G4" s="6" t="inlineStr">
        <is>
          <t>Gross Profit (INR)</t>
        </is>
      </c>
    </row>
    <row r="5">
      <c r="A5" s="17" t="inlineStr">
        <is>
          <t>Total records</t>
        </is>
      </c>
      <c r="B5" s="26">
        <f>COUNTA('Raw Data'!A5:A124)</f>
        <v/>
      </c>
      <c r="C5" s="17" t="inlineStr">
        <is>
          <t>Count all rows, including cancelled and returned orders</t>
        </is>
      </c>
      <c r="E5" s="4" t="inlineStr">
        <is>
          <t>Region</t>
        </is>
      </c>
    </row>
    <row r="6">
      <c r="A6" s="17" t="inlineStr">
        <is>
          <t>Unique Order IDs</t>
        </is>
      </c>
      <c r="B6" s="26">
        <f>SUMPRODUCT(('Raw Data'!A5:A124&lt;&gt;"")/COUNTIF('Raw Data'!A5:A124,'Raw Data'!A5:A124&amp;""))</f>
        <v/>
      </c>
      <c r="C6" s="17" t="inlineStr">
        <is>
          <t>Count distinct IDs after identifying duplicate</t>
        </is>
      </c>
      <c r="E6" s="17" t="inlineStr">
        <is>
          <t>North</t>
        </is>
      </c>
      <c r="F6" s="27">
        <f>SUMIFS('Raw Data'!$P$5:$P$124,'Raw Data'!$D$5:$D$124,E6,'Raw Data'!$M$5:$M$124,"Delivered")</f>
        <v/>
      </c>
      <c r="G6" s="27">
        <f>SUMIFS('Raw Data'!$Q$5:$Q$124,'Raw Data'!$D$5:$D$124,E6,'Raw Data'!$M$5:$M$124,"Delivered")</f>
        <v/>
      </c>
    </row>
    <row r="7">
      <c r="A7" s="17" t="inlineStr">
        <is>
          <t>Delivered orders</t>
        </is>
      </c>
      <c r="B7" s="26">
        <f>COUNTIF('Raw Data'!M5:M124,"Delivered")</f>
        <v/>
      </c>
      <c r="C7" s="17" t="inlineStr">
        <is>
          <t>Status = Delivered</t>
        </is>
      </c>
      <c r="E7" s="17" t="inlineStr">
        <is>
          <t>South</t>
        </is>
      </c>
      <c r="F7" s="27">
        <f>SUMIFS('Raw Data'!$P$5:$P$124,'Raw Data'!$D$5:$D$124,E7,'Raw Data'!$M$5:$M$124,"Delivered")</f>
        <v/>
      </c>
      <c r="G7" s="27">
        <f>SUMIFS('Raw Data'!$Q$5:$Q$124,'Raw Data'!$D$5:$D$124,E7,'Raw Data'!$M$5:$M$124,"Delivered")</f>
        <v/>
      </c>
    </row>
    <row r="8">
      <c r="A8" s="17" t="inlineStr">
        <is>
          <t>Return rate</t>
        </is>
      </c>
      <c r="B8" s="28">
        <f>COUNTIF('Raw Data'!M5:M124,"Returned")/COUNTA('Raw Data'!A5:A124)</f>
        <v/>
      </c>
      <c r="C8" s="17" t="inlineStr">
        <is>
          <t>Returned orders ÷ total records; state if you use delivered-only denominator instead</t>
        </is>
      </c>
      <c r="E8" s="17" t="inlineStr">
        <is>
          <t>East</t>
        </is>
      </c>
      <c r="F8" s="27">
        <f>SUMIFS('Raw Data'!$P$5:$P$124,'Raw Data'!$D$5:$D$124,E8,'Raw Data'!$M$5:$M$124,"Delivered")</f>
        <v/>
      </c>
      <c r="G8" s="27">
        <f>SUMIFS('Raw Data'!$Q$5:$Q$124,'Raw Data'!$D$5:$D$124,E8,'Raw Data'!$M$5:$M$124,"Delivered")</f>
        <v/>
      </c>
    </row>
    <row r="9">
      <c r="A9" s="17" t="inlineStr">
        <is>
          <t>Cancellation rate</t>
        </is>
      </c>
      <c r="B9" s="28">
        <f>COUNTIF('Raw Data'!M5:M124,"Cancelled")/COUNTA('Raw Data'!A5:A124)</f>
        <v/>
      </c>
      <c r="C9" s="17" t="inlineStr">
        <is>
          <t>Cancelled orders ÷ total records</t>
        </is>
      </c>
      <c r="E9" s="17" t="inlineStr">
        <is>
          <t>West</t>
        </is>
      </c>
      <c r="F9" s="27">
        <f>SUMIFS('Raw Data'!$P$5:$P$124,'Raw Data'!$D$5:$D$124,E9,'Raw Data'!$M$5:$M$124,"Delivered")</f>
        <v/>
      </c>
      <c r="G9" s="27">
        <f>SUMIFS('Raw Data'!$Q$5:$Q$124,'Raw Data'!$D$5:$D$124,E9,'Raw Data'!$M$5:$M$124,"Delivered")</f>
        <v/>
      </c>
    </row>
    <row r="10">
      <c r="A10" s="17" t="inlineStr">
        <is>
          <t>Net sales</t>
        </is>
      </c>
      <c r="B10" s="27">
        <f>SUMIFS('Raw Data'!P5:P124,'Raw Data'!M5:M124,"Delivered")</f>
        <v/>
      </c>
      <c r="C10" s="17" t="inlineStr">
        <is>
          <t>Sum Net Sales for Delivered orders only</t>
        </is>
      </c>
      <c r="E10" s="17" t="inlineStr">
        <is>
          <t>Central</t>
        </is>
      </c>
      <c r="F10" s="27">
        <f>SUMIFS('Raw Data'!$P$5:$P$124,'Raw Data'!$D$5:$D$124,E10,'Raw Data'!$M$5:$M$124,"Delivered")</f>
        <v/>
      </c>
      <c r="G10" s="27">
        <f>SUMIFS('Raw Data'!$Q$5:$Q$124,'Raw Data'!$D$5:$D$124,E10,'Raw Data'!$M$5:$M$124,"Delivered")</f>
        <v/>
      </c>
    </row>
    <row r="11">
      <c r="A11" s="17" t="inlineStr">
        <is>
          <t>Gross profit</t>
        </is>
      </c>
      <c r="B11" s="27">
        <f>SUMIFS('Raw Data'!Q5:Q124,'Raw Data'!M5:M124,"Delivered")</f>
        <v/>
      </c>
      <c r="C11" s="17" t="inlineStr">
        <is>
          <t>Sum Gross Profit for Delivered orders only</t>
        </is>
      </c>
    </row>
    <row r="12">
      <c r="A12" s="17" t="inlineStr">
        <is>
          <t>Gross margin</t>
        </is>
      </c>
      <c r="B12" s="28">
        <f>B11/B10</f>
        <v/>
      </c>
      <c r="C12" s="17" t="inlineStr">
        <is>
          <t>Gross profit ÷ delivered net sales</t>
        </is>
      </c>
      <c r="E12" s="4" t="inlineStr">
        <is>
          <t>Channel</t>
        </is>
      </c>
    </row>
    <row r="13">
      <c r="A13" s="17" t="inlineStr">
        <is>
          <t>Average order value (AOV)</t>
        </is>
      </c>
      <c r="B13" s="27">
        <f>B10/B7</f>
        <v/>
      </c>
      <c r="C13" s="17" t="inlineStr">
        <is>
          <t>Delivered net sales ÷ delivered orders</t>
        </is>
      </c>
      <c r="E13" s="17" t="inlineStr">
        <is>
          <t>Website</t>
        </is>
      </c>
      <c r="F13" s="27">
        <f>SUMIFS('Raw Data'!$P$5:$P$124,'Raw Data'!$E$5:$E$124,E13,'Raw Data'!$M$5:$M$124,"Delivered")</f>
        <v/>
      </c>
      <c r="G13" s="27">
        <f>SUMIFS('Raw Data'!$Q$5:$Q$124,'Raw Data'!$E$5:$E$124,E13,'Raw Data'!$M$5:$M$124,"Delivered")</f>
        <v/>
      </c>
    </row>
    <row r="14">
      <c r="A14" s="17" t="inlineStr">
        <is>
          <t>Missing Customer IDs</t>
        </is>
      </c>
      <c r="B14" s="26">
        <f>COUNTBLANK('Raw Data'!C5:C124)</f>
        <v/>
      </c>
      <c r="C14" s="17" t="inlineStr">
        <is>
          <t>Count blank Customer ID</t>
        </is>
      </c>
      <c r="E14" s="17" t="inlineStr">
        <is>
          <t>Mobile App</t>
        </is>
      </c>
      <c r="F14" s="27">
        <f>SUMIFS('Raw Data'!$P$5:$P$124,'Raw Data'!$E$5:$E$124,E14,'Raw Data'!$M$5:$M$124,"Delivered")</f>
        <v/>
      </c>
      <c r="G14" s="27">
        <f>SUMIFS('Raw Data'!$Q$5:$Q$124,'Raw Data'!$E$5:$E$124,E14,'Raw Data'!$M$5:$M$124,"Delivered")</f>
        <v/>
      </c>
    </row>
    <row r="15">
      <c r="A15" s="17" t="inlineStr">
        <is>
          <t>Missing Regions</t>
        </is>
      </c>
      <c r="B15" s="26">
        <f>COUNTBLANK('Raw Data'!D5:D124)</f>
        <v/>
      </c>
      <c r="C15" s="17" t="inlineStr">
        <is>
          <t>Count blank Region</t>
        </is>
      </c>
      <c r="E15" s="17" t="inlineStr">
        <is>
          <t>Marketplace</t>
        </is>
      </c>
      <c r="F15" s="27">
        <f>SUMIFS('Raw Data'!$P$5:$P$124,'Raw Data'!$E$5:$E$124,E15,'Raw Data'!$M$5:$M$124,"Delivered")</f>
        <v/>
      </c>
      <c r="G15" s="27">
        <f>SUMIFS('Raw Data'!$Q$5:$Q$124,'Raw Data'!$E$5:$E$124,E15,'Raw Data'!$M$5:$M$124,"Delivered")</f>
        <v/>
      </c>
    </row>
    <row r="16">
      <c r="A16" s="17" t="inlineStr">
        <is>
          <t>Missing Discounts</t>
        </is>
      </c>
      <c r="B16" s="26">
        <f>COUNTBLANK('Raw Data'!J5:J124)</f>
        <v/>
      </c>
      <c r="C16" s="17" t="inlineStr">
        <is>
          <t>Count blank Discount %</t>
        </is>
      </c>
    </row>
    <row r="17">
      <c r="A17" s="17" t="inlineStr">
        <is>
          <t>Duplicate Order IDs</t>
        </is>
      </c>
      <c r="B17" s="26">
        <f>COUNTA('Raw Data'!A5:A124)-SUMPRODUCT(1/COUNTIF('Raw Data'!A5:A124,'Raw Data'!A5:A124))</f>
        <v/>
      </c>
      <c r="C17" s="17" t="inlineStr">
        <is>
          <t>Count of rows beyond first occurrence for duplicate Order ID</t>
        </is>
      </c>
      <c r="E17" s="4" t="inlineStr">
        <is>
          <t>Category</t>
        </is>
      </c>
    </row>
    <row r="18">
      <c r="E18" s="17" t="inlineStr">
        <is>
          <t>Electronics</t>
        </is>
      </c>
      <c r="F18" s="27">
        <f>SUMIFS('Raw Data'!$P$5:$P$124,'Raw Data'!$F$5:$F$124,E18,'Raw Data'!$M$5:$M$124,"Delivered")</f>
        <v/>
      </c>
      <c r="G18" s="27">
        <f>SUMIFS('Raw Data'!$Q$5:$Q$124,'Raw Data'!$F$5:$F$124,E18,'Raw Data'!$M$5:$M$124,"Delivered")</f>
        <v/>
      </c>
    </row>
    <row r="19">
      <c r="E19" s="17" t="inlineStr">
        <is>
          <t>Home &amp; Kitchen</t>
        </is>
      </c>
      <c r="F19" s="27">
        <f>SUMIFS('Raw Data'!$P$5:$P$124,'Raw Data'!$F$5:$F$124,E19,'Raw Data'!$M$5:$M$124,"Delivered")</f>
        <v/>
      </c>
      <c r="G19" s="27">
        <f>SUMIFS('Raw Data'!$Q$5:$Q$124,'Raw Data'!$F$5:$F$124,E19,'Raw Data'!$M$5:$M$124,"Delivered")</f>
        <v/>
      </c>
    </row>
    <row r="20">
      <c r="A20" s="3" t="n"/>
      <c r="B20" s="20" t="n"/>
      <c r="F20" s="29">
        <f>SUMIFS('Raw Data'!$P$5:$P$124,'Raw Data'!$F$5:$F$124,E20,'Raw Data'!$M$5:$M$124,"Delivered")</f>
        <v/>
      </c>
      <c r="G20" s="29">
        <f>SUMIFS('Raw Data'!$Q$5:$Q$124,'Raw Data'!$F$5:$F$124,E20,'Raw Data'!$M$5:$M$124,"Delivered")</f>
        <v/>
      </c>
    </row>
    <row r="21">
      <c r="F21" s="29">
        <f>SUMIFS('Raw Data'!$P$5:$P$124,'Raw Data'!$F$5:$F$124,E21,'Raw Data'!$M$5:$M$124,"Delivered")</f>
        <v/>
      </c>
      <c r="G21" s="29">
        <f>SUMIFS('Raw Data'!$Q$5:$Q$124,'Raw Data'!$F$5:$F$124,E21,'Raw Data'!$M$5:$M$124,"Delivered")</f>
        <v/>
      </c>
    </row>
    <row r="22">
      <c r="F22" s="29">
        <f>SUMIFS('Raw Data'!$P$5:$P$124,'Raw Data'!$F$5:$F$124,E22,'Raw Data'!$M$5:$M$124,"Delivered")</f>
        <v/>
      </c>
      <c r="G22" s="29">
        <f>SUMIFS('Raw Data'!$Q$5:$Q$124,'Raw Data'!$F$5:$F$124,E22,'Raw Data'!$M$5:$M$124,"Delivered")</f>
        <v/>
      </c>
    </row>
    <row r="24">
      <c r="A24" s="3" t="n"/>
      <c r="B24" s="20" t="n"/>
    </row>
    <row r="25">
      <c r="A25" s="30" t="inlineStr">
        <is>
          <t>Business insights</t>
        </is>
      </c>
      <c r="B25" s="31" t="inlineStr">
        <is>
          <t>Write two actionable insights and one caveat. Mention the metric supporting each insight.</t>
        </is>
      </c>
    </row>
    <row r="26"/>
    <row r="27"/>
    <row r="29">
      <c r="A29" s="30" t="inlineStr">
        <is>
          <t>Data-quality treatment</t>
        </is>
      </c>
      <c r="B29" s="31" t="inlineStr">
        <is>
          <t>Explain how you treated duplicate Order IDs and missing discount, region and customer values.</t>
        </is>
      </c>
    </row>
    <row r="30"/>
    <row r="31"/>
  </sheetData>
  <mergeCells count="4">
    <mergeCell ref="B29:G31"/>
    <mergeCell ref="A2:G2"/>
    <mergeCell ref="B25:G27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22" customWidth="1" min="3" max="3"/>
    <col width="22" customWidth="1" min="4" max="4"/>
    <col width="3" customWidth="1" min="5" max="5"/>
    <col width="20" customWidth="1" min="6" max="6"/>
  </cols>
  <sheetData>
    <row r="1">
      <c r="A1" s="32" t="inlineStr">
        <is>
          <t>ANSWER KEY — OPEN ONLY AFTER YOUR ATTEMPT</t>
        </is>
      </c>
    </row>
    <row r="3">
      <c r="A3" s="30" t="inlineStr">
        <is>
          <t>Expected formulas / approach</t>
        </is>
      </c>
    </row>
    <row r="4" ht="32" customHeight="1">
      <c r="A4" s="33" t="inlineStr">
        <is>
          <t>Gross Sales</t>
        </is>
      </c>
      <c r="B4" s="34" t="inlineStr">
        <is>
          <t>Unit Price × Quantity</t>
        </is>
      </c>
    </row>
    <row r="5" ht="32" customHeight="1">
      <c r="A5" s="33" t="inlineStr">
        <is>
          <t>Net Sales</t>
        </is>
      </c>
      <c r="B5" s="34" t="inlineStr">
        <is>
          <t>Gross Sales × (1 − Discount); assume blank discount = 0% only if documented and flagged</t>
        </is>
      </c>
    </row>
    <row r="6" ht="32" customHeight="1">
      <c r="A6" s="33" t="inlineStr">
        <is>
          <t>Gross Profit</t>
        </is>
      </c>
      <c r="B6" s="34" t="inlineStr">
        <is>
          <t>Net Sales − Cost. Report delivered-only sales/profit for this exercise.</t>
        </is>
      </c>
    </row>
    <row r="7" ht="32" customHeight="1">
      <c r="A7" s="33" t="inlineStr">
        <is>
          <t>Delivered flag</t>
        </is>
      </c>
      <c r="B7" s="34" t="inlineStr">
        <is>
          <t>IF(Status="Delivered",1,0)</t>
        </is>
      </c>
    </row>
    <row r="8" ht="32" customHeight="1">
      <c r="A8" s="33" t="inlineStr">
        <is>
          <t>Delivered net sales</t>
        </is>
      </c>
      <c r="B8" s="34" t="inlineStr">
        <is>
          <t>SUMIFS(Net Sales, Status, "Delivered")</t>
        </is>
      </c>
    </row>
    <row r="9" ht="32" customHeight="1">
      <c r="A9" s="33" t="inlineStr">
        <is>
          <t>Return rate</t>
        </is>
      </c>
      <c r="B9" s="34" t="inlineStr">
        <is>
          <t>Returned rows ÷ all rows in this mock; alternative denominator acceptable if clearly defined.</t>
        </is>
      </c>
    </row>
    <row r="10" ht="32" customHeight="1">
      <c r="A10" s="33" t="inlineStr">
        <is>
          <t>Cancellation rate</t>
        </is>
      </c>
      <c r="B10" s="34" t="inlineStr">
        <is>
          <t>Cancelled rows ÷ all rows in this mock.</t>
        </is>
      </c>
    </row>
    <row r="11" ht="32" customHeight="1">
      <c r="A11" s="33" t="inlineStr">
        <is>
          <t>AOV</t>
        </is>
      </c>
      <c r="B11" s="34" t="inlineStr">
        <is>
          <t>Delivered net sales ÷ delivered order count.</t>
        </is>
      </c>
    </row>
    <row r="12" ht="32" customHeight="1">
      <c r="A12" s="33" t="inlineStr">
        <is>
          <t>Duplicates</t>
        </is>
      </c>
      <c r="B12" s="34" t="inlineStr">
        <is>
          <t>Use COUNTIF to flag repeated Order IDs; investigate before removing. One duplicate ID occurs in two records.</t>
        </is>
      </c>
    </row>
    <row r="13" ht="32" customHeight="1">
      <c r="A13" s="33" t="inlineStr">
        <is>
          <t>Missing fields</t>
        </is>
      </c>
      <c r="B13" s="34" t="inlineStr">
        <is>
          <t>Do not infer Customer ID or Region. Treat blank discount as 0 only as a stated assumption.</t>
        </is>
      </c>
    </row>
    <row r="14" ht="32" customHeight="1">
      <c r="A14" s="33" t="inlineStr">
        <is>
          <t>Business interpretation</t>
        </is>
      </c>
      <c r="B14" s="34" t="inlineStr">
        <is>
          <t>Compare segments on delivered net sales and gross profit, with margin as a complementary metric. Avoid causal claims.</t>
        </is>
      </c>
    </row>
    <row r="16">
      <c r="A16" s="30" t="inlineStr">
        <is>
          <t>Indicative results (under stated assumptions)</t>
        </is>
      </c>
    </row>
    <row r="17">
      <c r="A17" t="inlineStr">
        <is>
          <t>Total records</t>
        </is>
      </c>
      <c r="B17" t="n">
        <v>120</v>
      </c>
      <c r="C17" t="inlineStr">
        <is>
          <t>rows</t>
        </is>
      </c>
    </row>
    <row r="18">
      <c r="A18" t="inlineStr">
        <is>
          <t>Unique Order IDs</t>
        </is>
      </c>
      <c r="B18" t="n">
        <v>119</v>
      </c>
      <c r="C18" t="inlineStr">
        <is>
          <t>distinct IDs</t>
        </is>
      </c>
    </row>
    <row r="19">
      <c r="A19" t="inlineStr">
        <is>
          <t>Delivered orders</t>
        </is>
      </c>
      <c r="B19" t="n">
        <v>104</v>
      </c>
      <c r="C19" t="inlineStr">
        <is>
          <t>orders</t>
        </is>
      </c>
    </row>
    <row r="20">
      <c r="A20" t="inlineStr">
        <is>
          <t>Return rate</t>
        </is>
      </c>
      <c r="B20" s="35" t="n">
        <v>0.1083333333333333</v>
      </c>
      <c r="C20" t="inlineStr">
        <is>
          <t>% of all records</t>
        </is>
      </c>
    </row>
    <row r="21">
      <c r="A21" t="inlineStr">
        <is>
          <t>Cancellation rate</t>
        </is>
      </c>
      <c r="B21" s="35" t="n">
        <v>0.025</v>
      </c>
      <c r="C21" t="inlineStr">
        <is>
          <t>% of all records</t>
        </is>
      </c>
    </row>
    <row r="22">
      <c r="A22" t="inlineStr">
        <is>
          <t>Delivered net sales</t>
        </is>
      </c>
      <c r="B22" s="29" t="n">
        <v>425867.853</v>
      </c>
      <c r="C22" t="inlineStr">
        <is>
          <t>INR</t>
        </is>
      </c>
    </row>
    <row r="23">
      <c r="A23" t="inlineStr">
        <is>
          <t>Delivered gross profit</t>
        </is>
      </c>
      <c r="B23" s="29" t="n">
        <v>142709.113</v>
      </c>
      <c r="C23" t="inlineStr">
        <is>
          <t>INR</t>
        </is>
      </c>
    </row>
    <row r="24">
      <c r="A24" t="inlineStr">
        <is>
          <t>Gross margin</t>
        </is>
      </c>
      <c r="B24" s="35" t="n">
        <v>0.3351018678557078</v>
      </c>
      <c r="C24" t="inlineStr">
        <is>
          <t>%</t>
        </is>
      </c>
    </row>
    <row r="25">
      <c r="A25" t="inlineStr">
        <is>
          <t>AOV</t>
        </is>
      </c>
      <c r="B25" s="29" t="n">
        <v>4094.883201923077</v>
      </c>
      <c r="C25" t="inlineStr">
        <is>
          <t>INR per delivered record</t>
        </is>
      </c>
    </row>
    <row r="26">
      <c r="A26" t="inlineStr">
        <is>
          <t>Missing Customer IDs</t>
        </is>
      </c>
      <c r="B26" t="n">
        <v>3</v>
      </c>
      <c r="C26" t="inlineStr">
        <is>
          <t>rows</t>
        </is>
      </c>
    </row>
    <row r="27">
      <c r="A27" t="inlineStr">
        <is>
          <t>Missing Regions</t>
        </is>
      </c>
      <c r="B27" t="n">
        <v>2</v>
      </c>
      <c r="C27" t="inlineStr">
        <is>
          <t>rows</t>
        </is>
      </c>
    </row>
    <row r="28">
      <c r="A28" t="inlineStr">
        <is>
          <t>Missing Discounts</t>
        </is>
      </c>
      <c r="B28" t="n">
        <v>2</v>
      </c>
      <c r="C28" t="inlineStr">
        <is>
          <t>rows</t>
        </is>
      </c>
    </row>
    <row r="29">
      <c r="A29" t="inlineStr">
        <is>
          <t>Duplicate rows beyond first</t>
        </is>
      </c>
      <c r="B29" t="n">
        <v>1</v>
      </c>
      <c r="C29" t="inlineStr">
        <is>
          <t>rows</t>
        </is>
      </c>
    </row>
    <row r="32">
      <c r="A32" s="30" t="inlineStr">
        <is>
          <t>Delivered sales by segment</t>
        </is>
      </c>
    </row>
    <row r="33">
      <c r="A33" s="36" t="inlineStr">
        <is>
          <t>Dimension</t>
        </is>
      </c>
      <c r="B33" s="36" t="inlineStr">
        <is>
          <t>Segment</t>
        </is>
      </c>
      <c r="C33" s="36" t="inlineStr">
        <is>
          <t>Net Sales (INR)</t>
        </is>
      </c>
      <c r="D33" s="36" t="inlineStr">
        <is>
          <t>Gross Profit (INR)</t>
        </is>
      </c>
    </row>
    <row r="34">
      <c r="A34" t="inlineStr">
        <is>
          <t>Region</t>
        </is>
      </c>
      <c r="B34" t="inlineStr">
        <is>
          <t>North</t>
        </is>
      </c>
      <c r="C34" s="29" t="n">
        <v>128015.475</v>
      </c>
      <c r="D34" s="29" t="n">
        <v>41562.925</v>
      </c>
    </row>
    <row r="35">
      <c r="A35" t="inlineStr">
        <is>
          <t>Region</t>
        </is>
      </c>
      <c r="B35" t="inlineStr">
        <is>
          <t>South</t>
        </is>
      </c>
      <c r="C35" s="29" t="n">
        <v>69614.75599999999</v>
      </c>
      <c r="D35" s="29" t="n">
        <v>24439.046</v>
      </c>
    </row>
    <row r="36">
      <c r="A36" t="inlineStr">
        <is>
          <t>Region</t>
        </is>
      </c>
      <c r="B36" t="inlineStr">
        <is>
          <t>East</t>
        </is>
      </c>
      <c r="C36" s="29" t="n">
        <v>79319.712</v>
      </c>
      <c r="D36" s="29" t="n">
        <v>24593.232</v>
      </c>
    </row>
    <row r="37">
      <c r="A37" t="inlineStr">
        <is>
          <t>Region</t>
        </is>
      </c>
      <c r="B37" t="inlineStr">
        <is>
          <t>West</t>
        </is>
      </c>
      <c r="C37" s="29" t="n">
        <v>98077.5555</v>
      </c>
      <c r="D37" s="29" t="n">
        <v>32696.4355</v>
      </c>
    </row>
    <row r="38">
      <c r="A38" t="inlineStr">
        <is>
          <t>Region</t>
        </is>
      </c>
      <c r="B38" t="inlineStr">
        <is>
          <t>Central</t>
        </is>
      </c>
      <c r="C38" s="29" t="n">
        <v>42154.2145</v>
      </c>
      <c r="D38" s="29" t="n">
        <v>16994.9945</v>
      </c>
    </row>
    <row r="39">
      <c r="A39" t="inlineStr">
        <is>
          <t>Channel</t>
        </is>
      </c>
      <c r="B39" t="inlineStr">
        <is>
          <t>Website</t>
        </is>
      </c>
      <c r="C39" s="29" t="n">
        <v>146886.038</v>
      </c>
      <c r="D39" s="29" t="n">
        <v>46822.188</v>
      </c>
    </row>
    <row r="40">
      <c r="A40" t="inlineStr">
        <is>
          <t>Channel</t>
        </is>
      </c>
      <c r="B40" t="inlineStr">
        <is>
          <t>Mobile App</t>
        </is>
      </c>
      <c r="C40" s="29" t="n">
        <v>204212.796</v>
      </c>
      <c r="D40" s="29" t="n">
        <v>71580.976</v>
      </c>
    </row>
    <row r="41">
      <c r="A41" t="inlineStr">
        <is>
          <t>Channel</t>
        </is>
      </c>
      <c r="B41" t="inlineStr">
        <is>
          <t>Marketplace</t>
        </is>
      </c>
      <c r="C41" s="29" t="n">
        <v>74769.019</v>
      </c>
      <c r="D41" s="29" t="n">
        <v>24305.949</v>
      </c>
    </row>
    <row r="42">
      <c r="A42" t="inlineStr">
        <is>
          <t>Category</t>
        </is>
      </c>
      <c r="B42" t="inlineStr">
        <is>
          <t>Electronics</t>
        </is>
      </c>
      <c r="C42" s="29" t="n">
        <v>78760.0975</v>
      </c>
      <c r="D42" s="29" t="n">
        <v>25097.7075</v>
      </c>
    </row>
    <row r="43">
      <c r="A43" t="inlineStr">
        <is>
          <t>Category</t>
        </is>
      </c>
      <c r="B43" t="inlineStr">
        <is>
          <t>Home &amp; Kitchen</t>
        </is>
      </c>
      <c r="C43" s="29" t="n">
        <v>169467.811</v>
      </c>
      <c r="D43" s="29" t="n">
        <v>58965.511</v>
      </c>
    </row>
    <row r="44">
      <c r="A44" t="inlineStr">
        <is>
          <t>Category</t>
        </is>
      </c>
      <c r="B44" t="inlineStr">
        <is>
          <t>Fashion</t>
        </is>
      </c>
      <c r="C44" s="29" t="n">
        <v>65743.6995</v>
      </c>
      <c r="D44" s="29" t="n">
        <v>21250.6395</v>
      </c>
    </row>
    <row r="45">
      <c r="A45" t="inlineStr">
        <is>
          <t>Category</t>
        </is>
      </c>
      <c r="B45" t="inlineStr">
        <is>
          <t>Beauty</t>
        </is>
      </c>
      <c r="C45" s="29" t="n">
        <v>32331.9885</v>
      </c>
      <c r="D45" s="29" t="n">
        <v>10609.3885</v>
      </c>
    </row>
    <row r="46">
      <c r="A46" t="inlineStr">
        <is>
          <t>Category</t>
        </is>
      </c>
      <c r="B46" t="inlineStr">
        <is>
          <t>Sports</t>
        </is>
      </c>
      <c r="C46" s="29" t="n">
        <v>79564.2565</v>
      </c>
      <c r="D46" s="29" t="n">
        <v>26785.8665</v>
      </c>
    </row>
  </sheetData>
  <mergeCells count="12">
    <mergeCell ref="B10:D10"/>
    <mergeCell ref="A1:D1"/>
    <mergeCell ref="B11:D11"/>
    <mergeCell ref="B5:D5"/>
    <mergeCell ref="B14:D14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2026-10-23T10:46:41Z</dcterms:created>
  <dcterms:modified xmlns:dcterms="http://purl.org/dc/terms/" xmlns:xsi="http://www.w3.org/2001/XMLSchema-instance" xsi:type="dcterms:W3CDTF">2026-10-23T10:47:33Z</dcterms:modified>
</cp:coreProperties>
</file>