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perating Data" sheetId="2" state="visible" r:id="rId2"/>
    <sheet name="Trading Comps" sheetId="3" state="visible" r:id="rId3"/>
    <sheet name="Deal Model" sheetId="4" state="visible" r:id="rId4"/>
    <sheet name="Summary" sheetId="5" state="visible" r:id="rId5"/>
    <sheet name="Answer Key" sheetId="6" state="visible" r:id="rId6"/>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
    <numFmt numFmtId="167" formatCode="0.0x"/>
    <numFmt numFmtId="168" formatCode="₹#,##0.00"/>
  </numFmts>
  <fonts count="14">
    <font>
      <name val="Calibri"/>
      <family val="2"/>
      <color theme="1"/>
      <sz val="11"/>
      <scheme val="minor"/>
    </font>
    <font>
      <name val="Arial"/>
      <b val="1"/>
      <color rgb="00FFFFFF"/>
      <sz val="16"/>
    </font>
    <font>
      <name val="Arial"/>
      <i val="1"/>
      <color rgb="00666666"/>
      <sz val="10"/>
    </font>
    <font>
      <b val="1"/>
      <color rgb="001F4E78"/>
      <sz val="12"/>
    </font>
    <font>
      <b val="1"/>
      <color rgb="001F4E78"/>
    </font>
    <font>
      <name val="Arial"/>
      <b val="1"/>
      <color rgb="001F4E78"/>
      <sz val="12"/>
    </font>
    <font>
      <name val="Arial"/>
      <b val="1"/>
      <color rgb="001F4E78"/>
      <sz val="10"/>
    </font>
    <font>
      <name val="Arial"/>
      <family val="2"/>
      <color theme="1"/>
      <sz val="11"/>
      <scheme val="minor"/>
    </font>
    <font>
      <b val="1"/>
      <color rgb="00FFFFFF"/>
    </font>
    <font>
      <color rgb="000000FF"/>
    </font>
    <font>
      <name val="Arial"/>
      <b val="1"/>
      <color rgb="00FFFFFF"/>
      <sz val="10"/>
    </font>
    <font>
      <name val="Arial"/>
      <color rgb="000000FF"/>
      <sz val="10"/>
    </font>
    <font>
      <b val="1"/>
      <color rgb="00FFFFFF"/>
      <sz val="15"/>
    </font>
    <font>
      <b val="1"/>
    </font>
  </fonts>
  <fills count="5">
    <fill>
      <patternFill/>
    </fill>
    <fill>
      <patternFill patternType="gray125"/>
    </fill>
    <fill>
      <patternFill patternType="solid">
        <fgColor rgb="0017365D"/>
      </patternFill>
    </fill>
    <fill>
      <patternFill patternType="solid">
        <fgColor rgb="001F4E78"/>
      </patternFill>
    </fill>
    <fill>
      <patternFill patternType="solid">
        <fgColor rgb="00FFF2CC"/>
      </patternFill>
    </fill>
  </fills>
  <borders count="2">
    <border>
      <left/>
      <right/>
      <top/>
      <bottom/>
      <diagonal/>
    </border>
    <border>
      <bottom style="thin">
        <color rgb="00D9E1F2"/>
      </bottom>
    </border>
  </borders>
  <cellStyleXfs count="1">
    <xf numFmtId="0" fontId="0" fillId="0" borderId="0"/>
  </cellStyleXfs>
  <cellXfs count="2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5" fillId="0" borderId="0"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vertical="center" wrapText="1"/>
    </xf>
    <xf numFmtId="0" fontId="10" fillId="3" borderId="1" applyAlignment="1" pivotButton="0" quotePrefix="0" xfId="0">
      <alignment vertical="center" wrapText="1"/>
    </xf>
    <xf numFmtId="0" fontId="7" fillId="0" borderId="0" applyAlignment="1" pivotButton="0" quotePrefix="0" xfId="0">
      <alignment vertical="center"/>
    </xf>
    <xf numFmtId="164" fontId="11" fillId="0" borderId="0" applyAlignment="1" pivotButton="0" quotePrefix="0" xfId="0">
      <alignment vertical="center"/>
    </xf>
    <xf numFmtId="165" fontId="11" fillId="0" borderId="0" applyAlignment="1" pivotButton="0" quotePrefix="0" xfId="0">
      <alignment vertical="center"/>
    </xf>
    <xf numFmtId="165" fontId="7" fillId="4" borderId="0" applyAlignment="1" pivotButton="0" quotePrefix="0" xfId="0">
      <alignment vertical="center"/>
    </xf>
    <xf numFmtId="0" fontId="11" fillId="0" borderId="0" applyAlignment="1" pivotButton="0" quotePrefix="0" xfId="0">
      <alignment vertical="center"/>
    </xf>
    <xf numFmtId="166" fontId="11" fillId="0" borderId="0" applyAlignment="1" pivotButton="0" quotePrefix="0" xfId="0">
      <alignment vertical="center"/>
    </xf>
    <xf numFmtId="164" fontId="7" fillId="4" borderId="0" applyAlignment="1" pivotButton="0" quotePrefix="0" xfId="0">
      <alignment vertical="center"/>
    </xf>
    <xf numFmtId="164" fontId="7" fillId="0" borderId="0" applyAlignment="1" pivotButton="0" quotePrefix="0" xfId="0">
      <alignment vertical="center"/>
    </xf>
    <xf numFmtId="167" fontId="7" fillId="0" borderId="0" applyAlignment="1" pivotButton="0" quotePrefix="0" xfId="0">
      <alignment vertical="center"/>
    </xf>
    <xf numFmtId="167" fontId="7" fillId="4" borderId="0" applyAlignment="1" pivotButton="0" quotePrefix="0" xfId="0">
      <alignment vertical="center"/>
    </xf>
    <xf numFmtId="168" fontId="11" fillId="0" borderId="0" applyAlignment="1" pivotButton="0" quotePrefix="0" xfId="0">
      <alignment vertical="center"/>
    </xf>
    <xf numFmtId="168" fontId="7" fillId="4" borderId="0" applyAlignment="1" pivotButton="0" quotePrefix="0" xfId="0">
      <alignment vertical="center"/>
    </xf>
    <xf numFmtId="0" fontId="0" fillId="4" borderId="0" pivotButton="0" quotePrefix="0" xfId="0"/>
    <xf numFmtId="0" fontId="7" fillId="4" borderId="0" applyAlignment="1" pivotButton="0" quotePrefix="0" xfId="0">
      <alignment vertical="center" wrapText="1"/>
    </xf>
    <xf numFmtId="0" fontId="12" fillId="2"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13"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4"/>
  <sheetViews>
    <sheetView showGridLines="0" zoomScale="90" workbookViewId="0">
      <pane ySplit="4" topLeftCell="A5" activePane="bottomLeft" state="frozen"/>
      <selection pane="bottomLeft" activeCell="A1" sqref="A1"/>
    </sheetView>
  </sheetViews>
  <sheetFormatPr baseColWidth="8" defaultRowHeight="15"/>
  <cols>
    <col width="29" customWidth="1" min="1" max="1"/>
    <col width="25" customWidth="1" min="2" max="2"/>
    <col width="20" customWidth="1" min="3" max="3"/>
    <col width="20" customWidth="1" min="4" max="4"/>
    <col width="20" customWidth="1" min="5" max="5"/>
    <col width="20" customWidth="1" min="6" max="6"/>
  </cols>
  <sheetData>
    <row r="1" ht="28" customHeight="1">
      <c r="A1" s="1" t="inlineStr">
        <is>
          <t>INVESTMENT BANKING | EXCEL ASSESSMENT</t>
        </is>
      </c>
    </row>
    <row r="2" ht="30" customHeight="1">
      <c r="A2" s="2" t="inlineStr">
        <is>
          <t>Mock recruitment exercise • Consumer products M&amp;A • All figures fictional • 60 minutes</t>
        </is>
      </c>
    </row>
    <row r="4">
      <c r="A4" s="3" t="inlineStr">
        <is>
          <t>Candidate brief</t>
        </is>
      </c>
    </row>
    <row r="5" ht="42" customHeight="1">
      <c r="A5" s="4" t="inlineStr">
        <is>
          <t>Scenario</t>
        </is>
      </c>
      <c r="B5" s="5" t="inlineStr">
        <is>
          <t>You are an analyst supporting a potential acquisition of TargetCo by AcquirerCo. The VP needs a quick valuation and a first-pass view on whether the transaction is EPS-accretive or dilutive.</t>
        </is>
      </c>
    </row>
    <row r="6" ht="32" customHeight="1">
      <c r="A6" s="4" t="inlineStr">
        <is>
          <t>Time limit</t>
        </is>
      </c>
      <c r="B6" s="5" t="inlineStr">
        <is>
          <t>60 minutes. Work in Excel only. Do not use external sources. Use formulas rather than hardcoding derived outputs.</t>
        </is>
      </c>
    </row>
    <row r="7" ht="32" customHeight="1">
      <c r="A7" s="4" t="inlineStr">
        <is>
          <t>Units</t>
        </is>
      </c>
      <c r="B7" s="5" t="inlineStr">
        <is>
          <t>INR millions, except per-share data, multiples and percentages. Share counts are in millions.</t>
        </is>
      </c>
    </row>
    <row r="8" ht="32" customHeight="1">
      <c r="A8" s="4" t="inlineStr">
        <is>
          <t>Conventions</t>
        </is>
      </c>
      <c r="B8" s="5" t="inlineStr">
        <is>
          <t>Use FY2023A as the latest historical year. Treat FY2024E as the forecast year. Use net debt = debt less cash. Use EV = equity value + net debt.</t>
        </is>
      </c>
    </row>
    <row r="9" ht="32" customHeight="1">
      <c r="A9" s="4" t="inlineStr">
        <is>
          <t>Task 1 — Data &amp; operating metrics (10 min)</t>
        </is>
      </c>
      <c r="B9" s="5" t="inlineStr">
        <is>
          <t>On 'Operating Data', calculate FY2023A EBITDA margin for AcquirerCo and TargetCo, and FY2024E revenue growth and EBITDA margin for each. Use formulas.</t>
        </is>
      </c>
    </row>
    <row r="10" ht="42" customHeight="1">
      <c r="A10" s="4" t="inlineStr">
        <is>
          <t>Task 2 — Trading comps (20 min)</t>
        </is>
      </c>
      <c r="B10" s="5" t="inlineStr">
        <is>
          <t>On 'Trading Comps', calculate EV, EV / FY2023A Revenue, EV / FY2023A EBITDA, and median EV / EBITDA for the peer set. Exclude companies with negative / zero EBITDA if any. Apply the median EV / EBITDA multiple to TargetCo FY2023A EBITDA to estimate implied enterprise value, then deduct TargetCo net debt to estimate equity value.</t>
        </is>
      </c>
    </row>
    <row r="11" ht="42" customHeight="1">
      <c r="A11" s="4" t="inlineStr">
        <is>
          <t>Task 3 — Accretion / dilution (25 min)</t>
        </is>
      </c>
      <c r="B11" s="5" t="inlineStr">
        <is>
          <t>On 'Deal Model', calculate offer equity value using the premium to unaffected share price, transaction fees, new debt raised, interest expense on new debt, foregone interest on cash used, pro forma net income, new shares issued, pro forma EPS, standalone AcquirerCo EPS, and % accretion / dilution. Use the assumptions provided.</t>
        </is>
      </c>
    </row>
    <row r="12" ht="32" customHeight="1">
      <c r="A12" s="4" t="inlineStr">
        <is>
          <t>Task 4 — Output &amp; checks (5 min)</t>
        </is>
      </c>
      <c r="B12" s="5" t="inlineStr">
        <is>
          <t>On 'Summary', link the key outputs from your model and write a 2–3 sentence recommendation. Include at least two model checks (e.g., sources = uses; share count / EPS logic).</t>
        </is>
      </c>
    </row>
    <row r="13" ht="42" customHeight="1">
      <c r="A13" s="4" t="inlineStr">
        <is>
          <t>Formatting</t>
        </is>
      </c>
      <c r="B13" s="5" t="inlineStr">
        <is>
          <t>Blue font for hardcodes; black font for formulas; currency in INR mm with comma separators; multiples as 0.0x; percentages as 0.0%; negatives in parentheses. Keep the workbook readable.</t>
        </is>
      </c>
    </row>
    <row r="14" ht="42" customHeight="1">
      <c r="A14" s="4" t="inlineStr">
        <is>
          <t>Important</t>
        </is>
      </c>
      <c r="B14" s="5" t="inlineStr">
        <is>
          <t>This is a realistic practice simulation, not a claim that every bank uses this exact test. No single format is universal; some tests focus on speed, formulas, formatting, accounting, or a short model.</t>
        </is>
      </c>
    </row>
  </sheetData>
  <mergeCells count="12">
    <mergeCell ref="A2:F2"/>
    <mergeCell ref="B12:F12"/>
    <mergeCell ref="B7:F7"/>
    <mergeCell ref="B6:F6"/>
    <mergeCell ref="B10:F10"/>
    <mergeCell ref="A1:F1"/>
    <mergeCell ref="B11:F11"/>
    <mergeCell ref="B5:F5"/>
    <mergeCell ref="B14:F14"/>
    <mergeCell ref="B8:F8"/>
    <mergeCell ref="B9:F9"/>
    <mergeCell ref="B13:F13"/>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E13"/>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4" customWidth="1" min="2" max="2"/>
    <col width="24" customWidth="1" min="3" max="3"/>
    <col width="22" customWidth="1" min="4" max="4"/>
    <col width="22" customWidth="1" min="5" max="5"/>
  </cols>
  <sheetData>
    <row r="1" ht="28" customHeight="1">
      <c r="A1" s="1" t="inlineStr">
        <is>
          <t>OPERATING DATA</t>
        </is>
      </c>
    </row>
    <row r="2" ht="30" customHeight="1">
      <c r="A2" s="2" t="inlineStr">
        <is>
          <t>Use formulas in the yellow cells. Figures in INR millions.</t>
        </is>
      </c>
    </row>
    <row r="4" ht="30" customHeight="1">
      <c r="A4" s="6" t="inlineStr">
        <is>
          <t>Metric</t>
        </is>
      </c>
      <c r="B4" s="6" t="inlineStr">
        <is>
          <t>AcquirerCo FY2023A</t>
        </is>
      </c>
      <c r="C4" s="6" t="inlineStr">
        <is>
          <t>AcquirerCo FY2024E</t>
        </is>
      </c>
      <c r="D4" s="6" t="inlineStr">
        <is>
          <t>TargetCo FY2023A</t>
        </is>
      </c>
      <c r="E4" s="6" t="inlineStr">
        <is>
          <t>TargetCo FY2024E</t>
        </is>
      </c>
    </row>
    <row r="5">
      <c r="A5" s="7" t="inlineStr">
        <is>
          <t>Revenue</t>
        </is>
      </c>
      <c r="B5" s="8" t="n">
        <v>12500</v>
      </c>
      <c r="C5" s="8" t="n">
        <v>13750</v>
      </c>
      <c r="D5" s="8" t="n">
        <v>4200</v>
      </c>
      <c r="E5" s="8" t="n">
        <v>4830</v>
      </c>
    </row>
    <row r="6">
      <c r="A6" s="7" t="inlineStr">
        <is>
          <t>EBITDA</t>
        </is>
      </c>
      <c r="B6" s="8" t="n">
        <v>1875</v>
      </c>
      <c r="C6" s="8" t="n">
        <v>2200</v>
      </c>
      <c r="D6" s="8" t="n">
        <v>630</v>
      </c>
      <c r="E6" s="8" t="n">
        <v>772.8</v>
      </c>
    </row>
    <row r="7">
      <c r="A7" s="7" t="inlineStr">
        <is>
          <t>D&amp;A</t>
        </is>
      </c>
      <c r="B7" s="8" t="n">
        <v>375</v>
      </c>
      <c r="C7" s="8" t="n">
        <v>412.5</v>
      </c>
      <c r="D7" s="8" t="n">
        <v>126</v>
      </c>
      <c r="E7" s="8" t="n">
        <v>144.9</v>
      </c>
    </row>
    <row r="8">
      <c r="A8" s="7" t="inlineStr">
        <is>
          <t>EBIT</t>
        </is>
      </c>
      <c r="B8" s="8" t="n">
        <v>1500</v>
      </c>
      <c r="C8" s="8" t="n">
        <v>1787.5</v>
      </c>
      <c r="D8" s="8" t="n">
        <v>504</v>
      </c>
      <c r="E8" s="8" t="n">
        <v>627.9</v>
      </c>
    </row>
    <row r="9">
      <c r="A9" s="7" t="inlineStr">
        <is>
          <t>Interest expense</t>
        </is>
      </c>
      <c r="B9" s="8" t="n">
        <v>220</v>
      </c>
      <c r="C9" s="8" t="n">
        <v>230</v>
      </c>
      <c r="D9" s="8" t="n">
        <v>95</v>
      </c>
      <c r="E9" s="8" t="n">
        <v>110</v>
      </c>
    </row>
    <row r="10">
      <c r="A10" s="7" t="inlineStr">
        <is>
          <t>Tax rate</t>
        </is>
      </c>
      <c r="B10" s="9" t="n">
        <v>0.25</v>
      </c>
      <c r="C10" s="9" t="n">
        <v>0.25</v>
      </c>
      <c r="D10" s="9" t="n">
        <v>0.25</v>
      </c>
      <c r="E10" s="9" t="n">
        <v>0.25</v>
      </c>
    </row>
    <row r="11">
      <c r="A11" s="7" t="inlineStr">
        <is>
          <t>Net income</t>
        </is>
      </c>
      <c r="B11" s="8" t="n">
        <v>960</v>
      </c>
      <c r="C11" s="8" t="n">
        <v>1168.1</v>
      </c>
      <c r="D11" s="8" t="n">
        <v>306.75</v>
      </c>
      <c r="E11" s="8" t="n">
        <v>388.425</v>
      </c>
    </row>
    <row r="12">
      <c r="A12" s="7" t="inlineStr">
        <is>
          <t>Revenue growth</t>
        </is>
      </c>
      <c r="B12" s="10">
        <f>NA()</f>
        <v/>
      </c>
      <c r="C12" s="10">
        <f>C5/B5-1</f>
        <v/>
      </c>
      <c r="D12" s="10">
        <f>NA()</f>
        <v/>
      </c>
      <c r="E12" s="10">
        <f>E5/D5-1</f>
        <v/>
      </c>
    </row>
    <row r="13">
      <c r="A13" s="7" t="inlineStr">
        <is>
          <t>EBITDA margin</t>
        </is>
      </c>
      <c r="B13" s="10">
        <f>B6/B5</f>
        <v/>
      </c>
      <c r="C13" s="10">
        <f>C6/C5</f>
        <v/>
      </c>
      <c r="D13" s="10">
        <f>D6/D5</f>
        <v/>
      </c>
      <c r="E13" s="10">
        <f>E6/E5</f>
        <v/>
      </c>
    </row>
  </sheetData>
  <mergeCells count="2">
    <mergeCell ref="A2:E2"/>
    <mergeCell ref="A1:E1"/>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L24"/>
  <sheetViews>
    <sheetView showGridLines="0" zoomScale="90" workbookViewId="0">
      <pane ySplit="4" topLeftCell="A5" activePane="bottomLeft" state="frozen"/>
      <selection pane="bottomLeft" activeCell="A1" sqref="A1"/>
    </sheetView>
  </sheetViews>
  <sheetFormatPr baseColWidth="8" defaultRowHeight="15"/>
  <cols>
    <col width="28" customWidth="1" min="1" max="1"/>
    <col width="17" customWidth="1" min="2" max="2"/>
    <col width="18" customWidth="1" min="3" max="3"/>
    <col width="14" customWidth="1" min="4" max="4"/>
    <col width="14" customWidth="1" min="5" max="5"/>
    <col width="18" customWidth="1" min="6" max="6"/>
    <col width="18" customWidth="1" min="7" max="7"/>
    <col width="18" customWidth="1" min="8" max="8"/>
    <col width="20" customWidth="1" min="9" max="9"/>
    <col width="14" customWidth="1" min="10" max="10"/>
    <col width="14" customWidth="1" min="11" max="11"/>
    <col width="14" customWidth="1" min="12" max="12"/>
  </cols>
  <sheetData>
    <row r="1" ht="28" customHeight="1">
      <c r="A1" s="1" t="inlineStr">
        <is>
          <t>TRADING COMPARABLES</t>
        </is>
      </c>
    </row>
    <row r="2" ht="30" customHeight="1">
      <c r="A2" s="2" t="inlineStr">
        <is>
          <t>Populate yellow cells with formulas. Share counts in millions; INR figures in millions.</t>
        </is>
      </c>
    </row>
    <row r="4" ht="30" customHeight="1">
      <c r="A4" s="6" t="inlineStr">
        <is>
          <t>Company</t>
        </is>
      </c>
      <c r="B4" s="6" t="inlineStr">
        <is>
          <t>Share Price (INR)</t>
        </is>
      </c>
      <c r="C4" s="6" t="inlineStr">
        <is>
          <t>Diluted Shares (mm)</t>
        </is>
      </c>
      <c r="D4" s="6" t="inlineStr">
        <is>
          <t>Debt</t>
        </is>
      </c>
      <c r="E4" s="6" t="inlineStr">
        <is>
          <t>Cash</t>
        </is>
      </c>
      <c r="F4" s="6" t="inlineStr">
        <is>
          <t>FY2023A Revenue</t>
        </is>
      </c>
      <c r="G4" s="6" t="inlineStr">
        <is>
          <t>FY2023A EBITDA</t>
        </is>
      </c>
      <c r="H4" s="6" t="inlineStr">
        <is>
          <t>Equity Value</t>
        </is>
      </c>
      <c r="I4" s="6" t="inlineStr">
        <is>
          <t>Enterprise Value</t>
        </is>
      </c>
      <c r="J4" s="6" t="inlineStr">
        <is>
          <t>EV / Revenue</t>
        </is>
      </c>
      <c r="K4" s="6" t="inlineStr">
        <is>
          <t>EV / EBITDA</t>
        </is>
      </c>
      <c r="L4" s="6" t="inlineStr">
        <is>
          <t>Notes</t>
        </is>
      </c>
    </row>
    <row r="5">
      <c r="A5" s="11" t="inlineStr">
        <is>
          <t>Aster Consumer Ltd</t>
        </is>
      </c>
      <c r="B5" s="12" t="n">
        <v>420</v>
      </c>
      <c r="C5" s="11" t="n">
        <v>20</v>
      </c>
      <c r="D5" s="8" t="n">
        <v>1800</v>
      </c>
      <c r="E5" s="8" t="n">
        <v>450</v>
      </c>
      <c r="F5" s="8" t="n">
        <v>8400</v>
      </c>
      <c r="G5" s="8" t="n">
        <v>920</v>
      </c>
      <c r="H5" s="13">
        <f>B5*C5</f>
        <v/>
      </c>
      <c r="I5" s="14">
        <f>H5+D5-E5</f>
        <v/>
      </c>
      <c r="J5" s="15">
        <f>I5/F5</f>
        <v/>
      </c>
      <c r="K5" s="15">
        <f>I5/G5</f>
        <v/>
      </c>
    </row>
    <row r="6">
      <c r="A6" s="11" t="inlineStr">
        <is>
          <t>BluePeak Foods Ltd</t>
        </is>
      </c>
      <c r="B6" s="12" t="n">
        <v>285</v>
      </c>
      <c r="C6" s="11" t="n">
        <v>18</v>
      </c>
      <c r="D6" s="8" t="n">
        <v>950</v>
      </c>
      <c r="E6" s="8" t="n">
        <v>200</v>
      </c>
      <c r="F6" s="8" t="n">
        <v>6200</v>
      </c>
      <c r="G6" s="8" t="n">
        <v>620</v>
      </c>
      <c r="H6" s="13">
        <f>B6*C6</f>
        <v/>
      </c>
      <c r="I6" s="14">
        <f>H6+D6-E6</f>
        <v/>
      </c>
      <c r="J6" s="15">
        <f>I6/F6</f>
        <v/>
      </c>
      <c r="K6" s="15">
        <f>I6/G6</f>
        <v/>
      </c>
    </row>
    <row r="7">
      <c r="A7" s="11" t="inlineStr">
        <is>
          <t>Cedar Brands Ltd</t>
        </is>
      </c>
      <c r="B7" s="12" t="n">
        <v>610</v>
      </c>
      <c r="C7" s="11" t="n">
        <v>25</v>
      </c>
      <c r="D7" s="8" t="n">
        <v>2400</v>
      </c>
      <c r="E7" s="8" t="n">
        <v>700</v>
      </c>
      <c r="F7" s="8" t="n">
        <v>10500</v>
      </c>
      <c r="G7" s="8" t="n">
        <v>1365</v>
      </c>
      <c r="H7" s="13">
        <f>B7*C7</f>
        <v/>
      </c>
      <c r="I7" s="14">
        <f>H7+D7-E7</f>
        <v/>
      </c>
      <c r="J7" s="15">
        <f>I7/F7</f>
        <v/>
      </c>
      <c r="K7" s="15">
        <f>I7/G7</f>
        <v/>
      </c>
    </row>
    <row r="8">
      <c r="A8" s="11" t="inlineStr">
        <is>
          <t>Delta Household Ltd</t>
        </is>
      </c>
      <c r="B8" s="12" t="n">
        <v>165</v>
      </c>
      <c r="C8" s="11" t="n">
        <v>22</v>
      </c>
      <c r="D8" s="8" t="n">
        <v>1150</v>
      </c>
      <c r="E8" s="8" t="n">
        <v>250</v>
      </c>
      <c r="F8" s="8" t="n">
        <v>4900</v>
      </c>
      <c r="G8" s="8" t="n">
        <v>441</v>
      </c>
      <c r="H8" s="13">
        <f>B8*C8</f>
        <v/>
      </c>
      <c r="I8" s="14">
        <f>H8+D8-E8</f>
        <v/>
      </c>
      <c r="J8" s="15">
        <f>I8/F8</f>
        <v/>
      </c>
      <c r="K8" s="15">
        <f>I8/G8</f>
        <v/>
      </c>
    </row>
    <row r="9">
      <c r="A9" s="11" t="inlineStr">
        <is>
          <t>Evergreen Products Ltd</t>
        </is>
      </c>
      <c r="B9" s="12" t="n">
        <v>515</v>
      </c>
      <c r="C9" s="11" t="n">
        <v>16</v>
      </c>
      <c r="D9" s="8" t="n">
        <v>1300</v>
      </c>
      <c r="E9" s="8" t="n">
        <v>500</v>
      </c>
      <c r="F9" s="8" t="n">
        <v>7600</v>
      </c>
      <c r="G9" s="8" t="n">
        <v>988</v>
      </c>
      <c r="H9" s="13">
        <f>B9*C9</f>
        <v/>
      </c>
      <c r="I9" s="14">
        <f>H9+D9-E9</f>
        <v/>
      </c>
      <c r="J9" s="15">
        <f>I9/F9</f>
        <v/>
      </c>
      <c r="K9" s="15">
        <f>I9/G9</f>
        <v/>
      </c>
    </row>
    <row r="10">
      <c r="A10" s="11" t="inlineStr">
        <is>
          <t>Fable Retail Ltd</t>
        </is>
      </c>
      <c r="B10" s="12" t="n">
        <v>330</v>
      </c>
      <c r="C10" s="11" t="n">
        <v>30</v>
      </c>
      <c r="D10" s="8" t="n">
        <v>2200</v>
      </c>
      <c r="E10" s="8" t="n">
        <v>600</v>
      </c>
      <c r="F10" s="8" t="n">
        <v>9100</v>
      </c>
      <c r="G10" s="8" t="n">
        <v>728</v>
      </c>
      <c r="H10" s="13">
        <f>B10*C10</f>
        <v/>
      </c>
      <c r="I10" s="14">
        <f>H10+D10-E10</f>
        <v/>
      </c>
      <c r="J10" s="15">
        <f>I10/F10</f>
        <v/>
      </c>
      <c r="K10" s="15">
        <f>I10/G10</f>
        <v/>
      </c>
    </row>
    <row r="11">
      <c r="A11" s="11" t="inlineStr">
        <is>
          <t>Granite Consumer Ltd</t>
        </is>
      </c>
      <c r="B11" s="12" t="n">
        <v>390</v>
      </c>
      <c r="C11" s="11" t="n">
        <v>14</v>
      </c>
      <c r="D11" s="8" t="n">
        <v>900</v>
      </c>
      <c r="E11" s="8" t="n">
        <v>350</v>
      </c>
      <c r="F11" s="8" t="n">
        <v>5700</v>
      </c>
      <c r="G11" s="8" t="n">
        <v>684</v>
      </c>
      <c r="H11" s="13">
        <f>B11*C11</f>
        <v/>
      </c>
      <c r="I11" s="14">
        <f>H11+D11-E11</f>
        <v/>
      </c>
      <c r="J11" s="15">
        <f>I11/F11</f>
        <v/>
      </c>
      <c r="K11" s="15">
        <f>I11/G11</f>
        <v/>
      </c>
    </row>
    <row r="12">
      <c r="A12" s="11" t="inlineStr">
        <is>
          <t>Harbor Foods Ltd</t>
        </is>
      </c>
      <c r="B12" s="12" t="n">
        <v>720</v>
      </c>
      <c r="C12" s="11" t="n">
        <v>19</v>
      </c>
      <c r="D12" s="8" t="n">
        <v>2600</v>
      </c>
      <c r="E12" s="8" t="n">
        <v>850</v>
      </c>
      <c r="F12" s="8" t="n">
        <v>11800</v>
      </c>
      <c r="G12" s="8" t="n">
        <v>1534</v>
      </c>
      <c r="H12" s="13">
        <f>B12*C12</f>
        <v/>
      </c>
      <c r="I12" s="14">
        <f>H12+D12-E12</f>
        <v/>
      </c>
      <c r="J12" s="15">
        <f>I12/F12</f>
        <v/>
      </c>
      <c r="K12" s="15">
        <f>I12/G12</f>
        <v/>
      </c>
    </row>
    <row r="13">
      <c r="A13" s="11" t="inlineStr">
        <is>
          <t>Indigo Home Ltd</t>
        </is>
      </c>
      <c r="B13" s="12" t="n">
        <v>255</v>
      </c>
      <c r="C13" s="11" t="n">
        <v>24</v>
      </c>
      <c r="D13" s="8" t="n">
        <v>1400</v>
      </c>
      <c r="E13" s="8" t="n">
        <v>300</v>
      </c>
      <c r="F13" s="8" t="n">
        <v>6800</v>
      </c>
      <c r="G13" s="8" t="n">
        <v>748</v>
      </c>
      <c r="H13" s="13">
        <f>B13*C13</f>
        <v/>
      </c>
      <c r="I13" s="14">
        <f>H13+D13-E13</f>
        <v/>
      </c>
      <c r="J13" s="15">
        <f>I13/F13</f>
        <v/>
      </c>
      <c r="K13" s="15">
        <f>I13/G13</f>
        <v/>
      </c>
    </row>
    <row r="14">
      <c r="A14" s="11" t="inlineStr">
        <is>
          <t>Juniper Brands Ltd</t>
        </is>
      </c>
      <c r="B14" s="12" t="n">
        <v>140</v>
      </c>
      <c r="C14" s="11" t="n">
        <v>20</v>
      </c>
      <c r="D14" s="8" t="n">
        <v>800</v>
      </c>
      <c r="E14" s="8" t="n">
        <v>150</v>
      </c>
      <c r="F14" s="8" t="n">
        <v>4300</v>
      </c>
      <c r="G14" s="8" t="n">
        <v>387</v>
      </c>
      <c r="H14" s="13">
        <f>B14*C14</f>
        <v/>
      </c>
      <c r="I14" s="14">
        <f>H14+D14-E14</f>
        <v/>
      </c>
      <c r="J14" s="15">
        <f>I14/F14</f>
        <v/>
      </c>
      <c r="K14" s="15">
        <f>I14/G14</f>
        <v/>
      </c>
    </row>
    <row r="17">
      <c r="A17" s="4" t="inlineStr">
        <is>
          <t>Peer median EV / EBITDA</t>
        </is>
      </c>
      <c r="B17" s="16">
        <f>MEDIAN(K5:K14)</f>
        <v/>
      </c>
    </row>
    <row r="19">
      <c r="A19" s="3" t="inlineStr">
        <is>
          <t>TargetCo valuation</t>
        </is>
      </c>
    </row>
    <row r="20">
      <c r="A20" s="7" t="inlineStr">
        <is>
          <t>TargetCo FY2023A EBITDA</t>
        </is>
      </c>
      <c r="B20" s="8" t="n">
        <v>630</v>
      </c>
    </row>
    <row r="21">
      <c r="A21" s="7" t="inlineStr">
        <is>
          <t>Implied Enterprise Value</t>
        </is>
      </c>
      <c r="B21" s="13">
        <f>MEDIAN(K5:K14)*B20</f>
        <v/>
      </c>
    </row>
    <row r="22">
      <c r="A22" s="7" t="inlineStr">
        <is>
          <t>TargetCo Debt</t>
        </is>
      </c>
      <c r="B22" s="8" t="n">
        <v>900</v>
      </c>
    </row>
    <row r="23">
      <c r="A23" s="7" t="inlineStr">
        <is>
          <t>TargetCo Cash</t>
        </is>
      </c>
      <c r="B23" s="8" t="n">
        <v>150</v>
      </c>
    </row>
    <row r="24">
      <c r="A24" s="7" t="inlineStr">
        <is>
          <t>Implied Equity Value</t>
        </is>
      </c>
      <c r="B24" s="13">
        <f>B21-B22+B23</f>
        <v/>
      </c>
    </row>
  </sheetData>
  <mergeCells count="2">
    <mergeCell ref="A2:L2"/>
    <mergeCell ref="A1:L1"/>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E29"/>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7" customWidth="1" min="1" max="1"/>
    <col width="18" customWidth="1" min="2" max="2"/>
    <col width="15" customWidth="1" min="3" max="3"/>
    <col width="66" customWidth="1" min="4" max="4"/>
    <col width="13" customWidth="1" min="5" max="5"/>
  </cols>
  <sheetData>
    <row r="1" ht="28" customHeight="1">
      <c r="A1" s="1" t="inlineStr">
        <is>
          <t>ACCRETION / DILUTION MODEL</t>
        </is>
      </c>
    </row>
    <row r="2" ht="30" customHeight="1">
      <c r="A2" s="2" t="inlineStr">
        <is>
          <t>Complete yellow cells using linked assumptions and formulas. INR millions except per-share amounts.</t>
        </is>
      </c>
    </row>
    <row r="4" ht="30" customHeight="1">
      <c r="A4" s="6" t="inlineStr">
        <is>
          <t>Assumption / Output</t>
        </is>
      </c>
      <c r="B4" s="6" t="inlineStr">
        <is>
          <t>Value</t>
        </is>
      </c>
      <c r="C4" s="6" t="inlineStr">
        <is>
          <t>Units</t>
        </is>
      </c>
      <c r="D4" s="6" t="inlineStr">
        <is>
          <t>Source / formula guidance</t>
        </is>
      </c>
      <c r="E4" s="6" t="inlineStr">
        <is>
          <t>Status</t>
        </is>
      </c>
    </row>
    <row r="5">
      <c r="A5" s="7" t="inlineStr">
        <is>
          <t>AcquirerCo share price</t>
        </is>
      </c>
      <c r="B5" s="17" t="n">
        <v>480</v>
      </c>
      <c r="C5" s="7" t="inlineStr">
        <is>
          <t>INR/share</t>
        </is>
      </c>
      <c r="D5" s="7" t="inlineStr">
        <is>
          <t>Given</t>
        </is>
      </c>
      <c r="E5" s="7" t="inlineStr">
        <is>
          <t>Input</t>
        </is>
      </c>
    </row>
    <row r="6">
      <c r="A6" s="7" t="inlineStr">
        <is>
          <t>AcquirerCo diluted shares</t>
        </is>
      </c>
      <c r="B6" s="8" t="n">
        <v>50</v>
      </c>
      <c r="C6" s="7" t="inlineStr">
        <is>
          <t>mm</t>
        </is>
      </c>
      <c r="D6" s="7" t="inlineStr">
        <is>
          <t>Given</t>
        </is>
      </c>
      <c r="E6" s="7" t="inlineStr">
        <is>
          <t>Input</t>
        </is>
      </c>
    </row>
    <row r="7">
      <c r="A7" s="7" t="inlineStr">
        <is>
          <t>AcquirerCo net income</t>
        </is>
      </c>
      <c r="B7" s="8">
        <f>'Operating Data'!B11</f>
        <v/>
      </c>
      <c r="C7" s="7" t="inlineStr">
        <is>
          <t>INR mm</t>
        </is>
      </c>
      <c r="D7" s="7" t="inlineStr">
        <is>
          <t>Link Operating Data</t>
        </is>
      </c>
      <c r="E7" s="7" t="inlineStr">
        <is>
          <t>Input</t>
        </is>
      </c>
    </row>
    <row r="8">
      <c r="A8" s="7" t="inlineStr">
        <is>
          <t>AcquirerCo cash available for deal</t>
        </is>
      </c>
      <c r="B8" s="8" t="n">
        <v>2500</v>
      </c>
      <c r="C8" s="7" t="inlineStr">
        <is>
          <t>INR mm</t>
        </is>
      </c>
      <c r="D8" s="7" t="inlineStr">
        <is>
          <t>Given</t>
        </is>
      </c>
      <c r="E8" s="7" t="inlineStr">
        <is>
          <t>Input</t>
        </is>
      </c>
    </row>
    <row r="9">
      <c r="A9" s="7" t="inlineStr">
        <is>
          <t>TargetCo unaffected share price</t>
        </is>
      </c>
      <c r="B9" s="17" t="n">
        <v>210</v>
      </c>
      <c r="C9" s="7" t="inlineStr">
        <is>
          <t>INR/share</t>
        </is>
      </c>
      <c r="D9" s="7" t="inlineStr">
        <is>
          <t>Given</t>
        </is>
      </c>
      <c r="E9" s="7" t="inlineStr">
        <is>
          <t>Input</t>
        </is>
      </c>
    </row>
    <row r="10">
      <c r="A10" s="7" t="inlineStr">
        <is>
          <t>TargetCo diluted shares</t>
        </is>
      </c>
      <c r="B10" s="8" t="n">
        <v>20</v>
      </c>
      <c r="C10" s="7" t="inlineStr">
        <is>
          <t>mm</t>
        </is>
      </c>
      <c r="D10" s="7" t="inlineStr">
        <is>
          <t>Given</t>
        </is>
      </c>
      <c r="E10" s="7" t="inlineStr">
        <is>
          <t>Input</t>
        </is>
      </c>
    </row>
    <row r="11">
      <c r="A11" s="7" t="inlineStr">
        <is>
          <t>Offer premium</t>
        </is>
      </c>
      <c r="B11" s="9" t="n">
        <v>0.25</v>
      </c>
      <c r="C11" s="7" t="inlineStr">
        <is>
          <t>%</t>
        </is>
      </c>
      <c r="D11" s="7" t="inlineStr">
        <is>
          <t>Given</t>
        </is>
      </c>
      <c r="E11" s="7" t="inlineStr">
        <is>
          <t>Input</t>
        </is>
      </c>
    </row>
    <row r="12">
      <c r="A12" s="7" t="inlineStr">
        <is>
          <t>Transaction fees</t>
        </is>
      </c>
      <c r="B12" s="8" t="n">
        <v>180</v>
      </c>
      <c r="C12" s="7" t="inlineStr">
        <is>
          <t>INR mm</t>
        </is>
      </c>
      <c r="D12" s="7" t="inlineStr">
        <is>
          <t>Given</t>
        </is>
      </c>
      <c r="E12" s="7" t="inlineStr">
        <is>
          <t>Input</t>
        </is>
      </c>
    </row>
    <row r="13">
      <c r="A13" s="7" t="inlineStr">
        <is>
          <t>New debt raised</t>
        </is>
      </c>
      <c r="B13" s="8" t="n">
        <v>2500</v>
      </c>
      <c r="C13" s="7" t="inlineStr">
        <is>
          <t>INR mm</t>
        </is>
      </c>
      <c r="D13" s="7" t="inlineStr">
        <is>
          <t>Given</t>
        </is>
      </c>
      <c r="E13" s="7" t="inlineStr">
        <is>
          <t>Input</t>
        </is>
      </c>
    </row>
    <row r="14">
      <c r="A14" s="7" t="inlineStr">
        <is>
          <t>Interest rate on new debt</t>
        </is>
      </c>
      <c r="B14" s="9" t="n">
        <v>0.09</v>
      </c>
      <c r="C14" s="7" t="inlineStr">
        <is>
          <t>%</t>
        </is>
      </c>
      <c r="D14" s="7" t="inlineStr">
        <is>
          <t>Given</t>
        </is>
      </c>
      <c r="E14" s="7" t="inlineStr">
        <is>
          <t>Input</t>
        </is>
      </c>
    </row>
    <row r="15">
      <c r="A15" s="7" t="inlineStr">
        <is>
          <t>Interest rate foregone on cash</t>
        </is>
      </c>
      <c r="B15" s="9" t="n">
        <v>0.04</v>
      </c>
      <c r="C15" s="7" t="inlineStr">
        <is>
          <t>%</t>
        </is>
      </c>
      <c r="D15" s="7" t="inlineStr">
        <is>
          <t>Given</t>
        </is>
      </c>
      <c r="E15" s="7" t="inlineStr">
        <is>
          <t>Input</t>
        </is>
      </c>
    </row>
    <row r="16">
      <c r="A16" s="7" t="inlineStr">
        <is>
          <t>Tax rate</t>
        </is>
      </c>
      <c r="B16" s="9" t="n">
        <v>0.25</v>
      </c>
      <c r="C16" s="7" t="inlineStr">
        <is>
          <t>%</t>
        </is>
      </c>
      <c r="D16" s="7" t="inlineStr">
        <is>
          <t>Given</t>
        </is>
      </c>
      <c r="E16" s="7" t="inlineStr">
        <is>
          <t>Input</t>
        </is>
      </c>
    </row>
    <row r="17">
      <c r="A17" s="7" t="inlineStr">
        <is>
          <t>TargetCo net income</t>
        </is>
      </c>
      <c r="B17" s="8">
        <f>'Operating Data'!D11</f>
        <v/>
      </c>
      <c r="C17" s="7" t="inlineStr">
        <is>
          <t>INR mm</t>
        </is>
      </c>
      <c r="D17" s="7" t="inlineStr">
        <is>
          <t>Link Operating Data</t>
        </is>
      </c>
      <c r="E17" s="7" t="inlineStr">
        <is>
          <t>Input</t>
        </is>
      </c>
    </row>
    <row r="18">
      <c r="A18" s="7" t="inlineStr">
        <is>
          <t>Offer price per TargetCo share</t>
        </is>
      </c>
      <c r="B18" s="18">
        <f>B9*(1+B11)</f>
        <v/>
      </c>
      <c r="C18" s="7" t="inlineStr">
        <is>
          <t>INR/share</t>
        </is>
      </c>
      <c r="D18" s="7" t="inlineStr">
        <is>
          <t>Unaffected price × (1 + premium)</t>
        </is>
      </c>
      <c r="E18" s="7" t="inlineStr">
        <is>
          <t>Formula</t>
        </is>
      </c>
    </row>
    <row r="19">
      <c r="A19" s="7" t="inlineStr">
        <is>
          <t>Offer equity value</t>
        </is>
      </c>
      <c r="B19" s="13">
        <f>B18*B10</f>
        <v/>
      </c>
      <c r="C19" s="7" t="inlineStr">
        <is>
          <t>INR mm</t>
        </is>
      </c>
      <c r="D19" s="7" t="inlineStr">
        <is>
          <t>Offer price × target diluted shares</t>
        </is>
      </c>
      <c r="E19" s="7" t="inlineStr">
        <is>
          <t>Formula</t>
        </is>
      </c>
    </row>
    <row r="20">
      <c r="A20" s="7" t="inlineStr">
        <is>
          <t>Cash used</t>
        </is>
      </c>
      <c r="B20" s="13">
        <f>MIN(B8,MAX(0,B19+B12-B13))</f>
        <v/>
      </c>
      <c r="C20" s="7" t="inlineStr">
        <is>
          <t>INR mm</t>
        </is>
      </c>
      <c r="D20" s="7" t="inlineStr">
        <is>
          <t>MIN(cash available, offer equity value + fees − new debt)</t>
        </is>
      </c>
      <c r="E20" s="7" t="inlineStr">
        <is>
          <t>Formula</t>
        </is>
      </c>
    </row>
    <row r="21">
      <c r="A21" s="7" t="inlineStr">
        <is>
          <t>Interest expense on new debt</t>
        </is>
      </c>
      <c r="B21" s="13">
        <f>B13*B14</f>
        <v/>
      </c>
      <c r="C21" s="7" t="inlineStr">
        <is>
          <t>INR mm</t>
        </is>
      </c>
      <c r="D21" s="7" t="inlineStr">
        <is>
          <t>New debt × interest rate</t>
        </is>
      </c>
      <c r="E21" s="7" t="inlineStr">
        <is>
          <t>Formula</t>
        </is>
      </c>
    </row>
    <row r="22">
      <c r="A22" s="7" t="inlineStr">
        <is>
          <t>Foregone interest income</t>
        </is>
      </c>
      <c r="B22" s="13">
        <f>B20*B15</f>
        <v/>
      </c>
      <c r="C22" s="7" t="inlineStr">
        <is>
          <t>INR mm</t>
        </is>
      </c>
      <c r="D22" s="7" t="inlineStr">
        <is>
          <t>Cash used × foregone interest rate</t>
        </is>
      </c>
      <c r="E22" s="7" t="inlineStr">
        <is>
          <t>Formula</t>
        </is>
      </c>
    </row>
    <row r="23">
      <c r="A23" s="7" t="inlineStr">
        <is>
          <t>Incremental after-tax financing cost</t>
        </is>
      </c>
      <c r="B23" s="13">
        <f>(B21+B22)*(1-B16)</f>
        <v/>
      </c>
      <c r="C23" s="7" t="inlineStr">
        <is>
          <t>INR mm</t>
        </is>
      </c>
      <c r="D23" s="7" t="inlineStr">
        <is>
          <t>(new debt interest + foregone interest) × (1 − tax rate)</t>
        </is>
      </c>
      <c r="E23" s="7" t="inlineStr">
        <is>
          <t>Formula</t>
        </is>
      </c>
    </row>
    <row r="24">
      <c r="A24" s="7" t="inlineStr">
        <is>
          <t>Pro forma net income</t>
        </is>
      </c>
      <c r="B24" s="13">
        <f>B7+B17-B23-B12*(1-B16)</f>
        <v/>
      </c>
      <c r="C24" s="7" t="inlineStr">
        <is>
          <t>INR mm</t>
        </is>
      </c>
      <c r="D24" s="7" t="inlineStr">
        <is>
          <t>Acquirer NI + Target NI − after-tax financing cost − fees × (1 − tax rate)</t>
        </is>
      </c>
      <c r="E24" s="7" t="inlineStr">
        <is>
          <t>Formula</t>
        </is>
      </c>
    </row>
    <row r="25">
      <c r="A25" s="7" t="inlineStr">
        <is>
          <t>New shares issued</t>
        </is>
      </c>
      <c r="B25" s="13">
        <f>MAX(0,(B19+B12-B13-B20)/B5)</f>
        <v/>
      </c>
      <c r="C25" s="7" t="inlineStr">
        <is>
          <t>mm</t>
        </is>
      </c>
      <c r="D25" s="7" t="inlineStr">
        <is>
          <t>(offer equity value + fees − new debt − cash used) / acquirer share price; floor at zero</t>
        </is>
      </c>
      <c r="E25" s="7" t="inlineStr">
        <is>
          <t>Formula</t>
        </is>
      </c>
    </row>
    <row r="26">
      <c r="A26" s="7" t="inlineStr">
        <is>
          <t>Pro forma shares outstanding</t>
        </is>
      </c>
      <c r="B26" s="13">
        <f>B6+B25</f>
        <v/>
      </c>
      <c r="C26" s="7" t="inlineStr">
        <is>
          <t>mm</t>
        </is>
      </c>
      <c r="D26" s="7" t="inlineStr">
        <is>
          <t>Acquirer shares + new shares issued</t>
        </is>
      </c>
      <c r="E26" s="7" t="inlineStr">
        <is>
          <t>Formula</t>
        </is>
      </c>
    </row>
    <row r="27">
      <c r="A27" s="7" t="inlineStr">
        <is>
          <t>Standalone AcquirerCo EPS</t>
        </is>
      </c>
      <c r="B27" s="18">
        <f>B7/B6</f>
        <v/>
      </c>
      <c r="C27" s="7" t="inlineStr">
        <is>
          <t>INR/share</t>
        </is>
      </c>
      <c r="D27" s="7" t="inlineStr">
        <is>
          <t>Acquirer NI / Acquirer shares</t>
        </is>
      </c>
      <c r="E27" s="7" t="inlineStr">
        <is>
          <t>Formula</t>
        </is>
      </c>
    </row>
    <row r="28">
      <c r="A28" s="7" t="inlineStr">
        <is>
          <t>Pro forma EPS</t>
        </is>
      </c>
      <c r="B28" s="18">
        <f>B24/B26</f>
        <v/>
      </c>
      <c r="C28" s="7" t="inlineStr">
        <is>
          <t>INR/share</t>
        </is>
      </c>
      <c r="D28" s="7" t="inlineStr">
        <is>
          <t>Pro forma NI / pro forma shares</t>
        </is>
      </c>
      <c r="E28" s="7" t="inlineStr">
        <is>
          <t>Formula</t>
        </is>
      </c>
    </row>
    <row r="29">
      <c r="A29" s="7" t="inlineStr">
        <is>
          <t>Accretion / (dilution)</t>
        </is>
      </c>
      <c r="B29" s="10">
        <f>B28/B27-1</f>
        <v/>
      </c>
      <c r="C29" s="7" t="inlineStr">
        <is>
          <t>%</t>
        </is>
      </c>
      <c r="D29" s="7" t="inlineStr">
        <is>
          <t>Pro forma EPS / standalone EPS − 1</t>
        </is>
      </c>
      <c r="E29" s="7" t="inlineStr">
        <is>
          <t>Formula</t>
        </is>
      </c>
    </row>
  </sheetData>
  <mergeCells count="2">
    <mergeCell ref="A2:E2"/>
    <mergeCell ref="A1:E1"/>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D22"/>
  <sheetViews>
    <sheetView showGridLines="0" zoomScale="90" workbookViewId="0">
      <pane ySplit="4" topLeftCell="A5" activePane="bottomLeft" state="frozen"/>
      <selection pane="bottomLeft" activeCell="A1" sqref="A1"/>
    </sheetView>
  </sheetViews>
  <sheetFormatPr baseColWidth="8" defaultRowHeight="15"/>
  <cols>
    <col width="36" customWidth="1" min="1" max="1"/>
    <col width="22" customWidth="1" min="2" max="2"/>
    <col width="18" customWidth="1" min="3" max="3"/>
    <col width="45" customWidth="1" min="4" max="4"/>
  </cols>
  <sheetData>
    <row r="1" ht="28" customHeight="1">
      <c r="A1" s="1" t="inlineStr">
        <is>
          <t>TRANSACTION SNAPSHOT</t>
        </is>
      </c>
    </row>
    <row r="2" ht="30" customHeight="1">
      <c r="A2" s="2" t="inlineStr">
        <is>
          <t>Complete the outputs by linking to your model. Recommendation should be concise and evidence-based.</t>
        </is>
      </c>
    </row>
    <row r="4" ht="30" customHeight="1">
      <c r="A4" s="6" t="inlineStr">
        <is>
          <t>Output</t>
        </is>
      </c>
      <c r="B4" s="6" t="inlineStr">
        <is>
          <t>Value</t>
        </is>
      </c>
      <c r="C4" s="6" t="inlineStr">
        <is>
          <t>Units</t>
        </is>
      </c>
      <c r="D4" s="6" t="inlineStr">
        <is>
          <t>Comment</t>
        </is>
      </c>
    </row>
    <row r="5">
      <c r="A5" s="7" t="inlineStr">
        <is>
          <t>Peer median EV / EBITDA</t>
        </is>
      </c>
      <c r="B5" s="19">
        <f>'Trading Comps'!B17</f>
        <v/>
      </c>
      <c r="C5" s="7" t="inlineStr">
        <is>
          <t>x</t>
        </is>
      </c>
      <c r="D5" s="7" t="inlineStr">
        <is>
          <t>Link Trading Comps</t>
        </is>
      </c>
    </row>
    <row r="6">
      <c r="A6" s="7" t="inlineStr">
        <is>
          <t>TargetCo implied enterprise value</t>
        </is>
      </c>
      <c r="B6" s="19">
        <f>'Trading Comps'!B21</f>
        <v/>
      </c>
      <c r="C6" s="7" t="inlineStr">
        <is>
          <t>INR mm</t>
        </is>
      </c>
      <c r="D6" s="7" t="inlineStr">
        <is>
          <t>Link Trading Comps</t>
        </is>
      </c>
    </row>
    <row r="7">
      <c r="A7" s="7" t="inlineStr">
        <is>
          <t>TargetCo implied equity value</t>
        </is>
      </c>
      <c r="B7" s="19">
        <f>'Trading Comps'!B24</f>
        <v/>
      </c>
      <c r="C7" s="7" t="inlineStr">
        <is>
          <t>INR mm</t>
        </is>
      </c>
      <c r="D7" s="7" t="inlineStr">
        <is>
          <t>Link Trading Comps</t>
        </is>
      </c>
    </row>
    <row r="8">
      <c r="A8" s="7" t="inlineStr">
        <is>
          <t>Offer price per share</t>
        </is>
      </c>
      <c r="B8" s="19">
        <f>'Deal Model'!B18</f>
        <v/>
      </c>
      <c r="C8" s="7" t="inlineStr">
        <is>
          <t>INR/share</t>
        </is>
      </c>
      <c r="D8" s="7" t="inlineStr">
        <is>
          <t>Link Deal Model</t>
        </is>
      </c>
    </row>
    <row r="9">
      <c r="A9" s="7" t="inlineStr">
        <is>
          <t>Offer equity value</t>
        </is>
      </c>
      <c r="B9" s="19">
        <f>'Deal Model'!B19</f>
        <v/>
      </c>
      <c r="C9" s="7" t="inlineStr">
        <is>
          <t>INR mm</t>
        </is>
      </c>
      <c r="D9" s="7" t="inlineStr">
        <is>
          <t>Link Deal Model</t>
        </is>
      </c>
    </row>
    <row r="10">
      <c r="A10" s="7" t="inlineStr">
        <is>
          <t>Standalone AcquirerCo EPS</t>
        </is>
      </c>
      <c r="B10" s="19">
        <f>'Deal Model'!B27</f>
        <v/>
      </c>
      <c r="C10" s="7" t="inlineStr">
        <is>
          <t>INR/share</t>
        </is>
      </c>
      <c r="D10" s="7" t="inlineStr">
        <is>
          <t>Link Deal Model</t>
        </is>
      </c>
    </row>
    <row r="11">
      <c r="A11" s="7" t="inlineStr">
        <is>
          <t>Pro forma EPS</t>
        </is>
      </c>
      <c r="B11" s="19">
        <f>'Deal Model'!B28</f>
        <v/>
      </c>
      <c r="C11" s="7" t="inlineStr">
        <is>
          <t>INR/share</t>
        </is>
      </c>
      <c r="D11" s="7" t="inlineStr">
        <is>
          <t>Link Deal Model</t>
        </is>
      </c>
    </row>
    <row r="12">
      <c r="A12" s="7" t="inlineStr">
        <is>
          <t>Accretion / (dilution)</t>
        </is>
      </c>
      <c r="B12" s="19">
        <f>'Deal Model'!B29</f>
        <v/>
      </c>
      <c r="C12" s="7" t="inlineStr">
        <is>
          <t>%</t>
        </is>
      </c>
      <c r="D12" s="7" t="inlineStr">
        <is>
          <t>Link Deal Model</t>
        </is>
      </c>
    </row>
    <row r="13">
      <c r="A13" s="7" t="inlineStr">
        <is>
          <t>Sources less uses</t>
        </is>
      </c>
      <c r="B13" s="19">
        <f>0</f>
        <v/>
      </c>
      <c r="C13" s="7" t="inlineStr">
        <is>
          <t>INR mm</t>
        </is>
      </c>
      <c r="D13" s="7" t="inlineStr">
        <is>
          <t>Check; should be zero or explain residual</t>
        </is>
      </c>
    </row>
    <row r="16">
      <c r="A16" s="3" t="inlineStr">
        <is>
          <t>Recommendation</t>
        </is>
      </c>
      <c r="B16" s="20" t="inlineStr">
        <is>
          <t>Based on the peer median multiple, TargetCo's implied value is a useful benchmark but should be compared with the proposed offer. The model's EPS accretion/dilution result depends on the funding mix, financing costs, fees and assumptions. Key caveats include synergies being excluded and the use of a single forecast year.</t>
        </is>
      </c>
    </row>
    <row r="17"/>
    <row r="18"/>
    <row r="20">
      <c r="A20" s="3" t="inlineStr">
        <is>
          <t>Model checks</t>
        </is>
      </c>
    </row>
    <row r="21">
      <c r="A21" s="7" t="inlineStr">
        <is>
          <t>1. Sources less uses</t>
        </is>
      </c>
      <c r="B21" s="19">
        <f>IF(ABS(B13)&lt;0.1,"PASS","REVIEW")</f>
        <v/>
      </c>
    </row>
    <row r="22">
      <c r="A22" s="7" t="inlineStr">
        <is>
          <t>2. Share count / EPS check</t>
        </is>
      </c>
      <c r="B22" s="19">
        <f>IF(ABS('Deal Model'!B28-'Deal Model'!B24/'Deal Model'!B26 )&lt;0.0001,"PASS","REVIEW")</f>
        <v/>
      </c>
    </row>
  </sheetData>
  <mergeCells count="3">
    <mergeCell ref="A1:D1"/>
    <mergeCell ref="B16:D18"/>
    <mergeCell ref="A2:D2"/>
  </mergeCell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sheetPr>
  <dimension ref="A1:D28"/>
  <sheetViews>
    <sheetView showGridLines="0" workbookViewId="0">
      <pane ySplit="3" topLeftCell="A4" activePane="bottomLeft" state="frozen"/>
      <selection pane="bottomLeft" activeCell="A1" sqref="A1"/>
    </sheetView>
  </sheetViews>
  <sheetFormatPr baseColWidth="8" defaultRowHeight="15"/>
  <cols>
    <col width="34" customWidth="1" min="1" max="1"/>
    <col width="40" customWidth="1" min="2" max="2"/>
    <col width="16" customWidth="1" min="3" max="3"/>
    <col width="20" customWidth="1" min="4" max="4"/>
  </cols>
  <sheetData>
    <row r="1">
      <c r="A1" s="21" t="inlineStr">
        <is>
          <t>ANSWER KEY — DO NOT OPEN UNTIL YOU FINISH</t>
        </is>
      </c>
    </row>
    <row r="3">
      <c r="A3" s="22" t="inlineStr">
        <is>
          <t>Expected formulas / review points</t>
        </is>
      </c>
    </row>
    <row r="4" ht="30" customHeight="1">
      <c r="A4" s="23" t="inlineStr">
        <is>
          <t>Trading comps Equity Value</t>
        </is>
      </c>
      <c r="B4" s="24" t="inlineStr">
        <is>
          <t>Share price × diluted shares</t>
        </is>
      </c>
    </row>
    <row r="5" ht="30" customHeight="1">
      <c r="A5" s="23" t="inlineStr">
        <is>
          <t>Trading comps Enterprise Value</t>
        </is>
      </c>
      <c r="B5" s="24" t="inlineStr">
        <is>
          <t>Equity value + debt − cash</t>
        </is>
      </c>
    </row>
    <row r="6" ht="30" customHeight="1">
      <c r="A6" s="23" t="inlineStr">
        <is>
          <t>EV / EBITDA</t>
        </is>
      </c>
      <c r="B6" s="24" t="inlineStr">
        <is>
          <t>Enterprise value ÷ FY2023A EBITDA</t>
        </is>
      </c>
    </row>
    <row r="7" ht="30" customHeight="1">
      <c r="A7" s="23" t="inlineStr">
        <is>
          <t>Peer median multiple</t>
        </is>
      </c>
      <c r="B7" s="24" t="inlineStr">
        <is>
          <t>MEDIAN of peer EV / EBITDA multiples</t>
        </is>
      </c>
    </row>
    <row r="8" ht="30" customHeight="1">
      <c r="A8" s="23" t="inlineStr">
        <is>
          <t>Target implied EV</t>
        </is>
      </c>
      <c r="B8" s="24" t="inlineStr">
        <is>
          <t>Peer median EV / EBITDA × TargetCo EBITDA</t>
        </is>
      </c>
    </row>
    <row r="9" ht="30" customHeight="1">
      <c r="A9" s="23" t="inlineStr">
        <is>
          <t>Target implied equity value</t>
        </is>
      </c>
      <c r="B9" s="24" t="inlineStr">
        <is>
          <t>Implied EV − target debt + target cash</t>
        </is>
      </c>
    </row>
    <row r="10" ht="30" customHeight="1">
      <c r="A10" s="23" t="inlineStr">
        <is>
          <t>Offer price</t>
        </is>
      </c>
      <c r="B10" s="24" t="inlineStr">
        <is>
          <t>Unaffected target price × (1 + premium)</t>
        </is>
      </c>
    </row>
    <row r="11" ht="30" customHeight="1">
      <c r="A11" s="23" t="inlineStr">
        <is>
          <t>Offer equity value</t>
        </is>
      </c>
      <c r="B11" s="24" t="inlineStr">
        <is>
          <t>Offer price × target diluted shares</t>
        </is>
      </c>
    </row>
    <row r="12" ht="30" customHeight="1">
      <c r="A12" s="23" t="inlineStr">
        <is>
          <t>Cash used</t>
        </is>
      </c>
      <c r="B12" s="24" t="inlineStr">
        <is>
          <t>MIN(cash available, MAX(0, offer equity value + fees − new debt))</t>
        </is>
      </c>
    </row>
    <row r="13" ht="30" customHeight="1">
      <c r="A13" s="23" t="inlineStr">
        <is>
          <t>Pro forma NI</t>
        </is>
      </c>
      <c r="B13" s="24" t="inlineStr">
        <is>
          <t>Acquirer NI + Target NI − after-tax financing cost − after-tax fees</t>
        </is>
      </c>
    </row>
    <row r="14" ht="30" customHeight="1">
      <c r="A14" s="23" t="inlineStr">
        <is>
          <t>New shares issued</t>
        </is>
      </c>
      <c r="B14" s="24" t="inlineStr">
        <is>
          <t>MAX(0, (offer equity value + fees − new debt − cash used) / acquirer share price)</t>
        </is>
      </c>
    </row>
    <row r="15" ht="30" customHeight="1">
      <c r="A15" s="23" t="inlineStr">
        <is>
          <t>Pro forma EPS</t>
        </is>
      </c>
      <c r="B15" s="24" t="inlineStr">
        <is>
          <t>Pro forma NI ÷ pro forma shares</t>
        </is>
      </c>
    </row>
    <row r="16" ht="30" customHeight="1">
      <c r="A16" s="23" t="inlineStr">
        <is>
          <t>Accretion / dilution</t>
        </is>
      </c>
      <c r="B16" s="24" t="inlineStr">
        <is>
          <t>Pro forma EPS ÷ standalone acquirer EPS − 1</t>
        </is>
      </c>
    </row>
    <row r="17" ht="30" customHeight="1">
      <c r="A17" s="23" t="inlineStr">
        <is>
          <t>Key judgment</t>
        </is>
      </c>
      <c r="B17" s="24" t="inlineStr">
        <is>
          <t>State whether the deal is accretive/dilutive under assumptions; identify synergies, integration costs, financing and valuation as sensitivities.</t>
        </is>
      </c>
    </row>
    <row r="20">
      <c r="A20" s="22" t="inlineStr">
        <is>
          <t>Indicative output values</t>
        </is>
      </c>
    </row>
    <row r="21">
      <c r="A21" s="25" t="inlineStr">
        <is>
          <t>Peer median EV / EBITDA</t>
        </is>
      </c>
      <c r="B21" s="26">
        <f>'Trading Comps'!B17</f>
        <v/>
      </c>
      <c r="C21" t="inlineStr">
        <is>
          <t>x</t>
        </is>
      </c>
    </row>
    <row r="22">
      <c r="A22" s="25" t="inlineStr">
        <is>
          <t>Target implied EV</t>
        </is>
      </c>
      <c r="B22" s="26">
        <f>'Trading Comps'!B21</f>
        <v/>
      </c>
      <c r="C22" t="inlineStr">
        <is>
          <t>INR mm</t>
        </is>
      </c>
    </row>
    <row r="23">
      <c r="A23" s="25" t="inlineStr">
        <is>
          <t>Target implied equity value</t>
        </is>
      </c>
      <c r="B23" s="26">
        <f>'Trading Comps'!B24</f>
        <v/>
      </c>
      <c r="C23" t="inlineStr">
        <is>
          <t>INR mm</t>
        </is>
      </c>
    </row>
    <row r="24">
      <c r="A24" s="25" t="inlineStr">
        <is>
          <t>Offer price/share</t>
        </is>
      </c>
      <c r="B24" s="26">
        <f>'Deal Model'!B18</f>
        <v/>
      </c>
      <c r="C24" t="inlineStr">
        <is>
          <t>INR/share</t>
        </is>
      </c>
    </row>
    <row r="25">
      <c r="A25" s="25" t="inlineStr">
        <is>
          <t>Offer equity value</t>
        </is>
      </c>
      <c r="B25" s="26">
        <f>'Deal Model'!B19</f>
        <v/>
      </c>
      <c r="C25" t="inlineStr">
        <is>
          <t>INR mm</t>
        </is>
      </c>
    </row>
    <row r="26">
      <c r="A26" s="25" t="inlineStr">
        <is>
          <t>Standalone EPS</t>
        </is>
      </c>
      <c r="B26" s="26">
        <f>'Deal Model'!B27</f>
        <v/>
      </c>
      <c r="C26" t="inlineStr">
        <is>
          <t>INR/share</t>
        </is>
      </c>
    </row>
    <row r="27">
      <c r="A27" s="25" t="inlineStr">
        <is>
          <t>Pro forma EPS</t>
        </is>
      </c>
      <c r="B27" s="26">
        <f>'Deal Model'!B28</f>
        <v/>
      </c>
      <c r="C27" t="inlineStr">
        <is>
          <t>INR/share</t>
        </is>
      </c>
    </row>
    <row r="28">
      <c r="A28" s="25" t="inlineStr">
        <is>
          <t>Accretion/(dilution)</t>
        </is>
      </c>
      <c r="B28" s="26">
        <f>'Deal Model'!B29</f>
        <v/>
      </c>
      <c r="C28" t="inlineStr">
        <is>
          <t>%</t>
        </is>
      </c>
    </row>
  </sheetData>
  <mergeCells count="15">
    <mergeCell ref="B10:D10"/>
    <mergeCell ref="A1:D1"/>
    <mergeCell ref="B11:D11"/>
    <mergeCell ref="B5:D5"/>
    <mergeCell ref="B14:D14"/>
    <mergeCell ref="B15:D15"/>
    <mergeCell ref="B8:D8"/>
    <mergeCell ref="B4:D4"/>
    <mergeCell ref="B17:D17"/>
    <mergeCell ref="B9:D9"/>
    <mergeCell ref="B13:D13"/>
    <mergeCell ref="B12:D12"/>
    <mergeCell ref="B7:D7"/>
    <mergeCell ref="B6:D6"/>
    <mergeCell ref="B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2026-10-23T10:39:46Z</dcterms:created>
  <dcterms:modified xsi:type="dcterms:W3CDTF">2026-10-23T10:57:20Z</dcterms:modified>
</cp:coreProperties>
</file>