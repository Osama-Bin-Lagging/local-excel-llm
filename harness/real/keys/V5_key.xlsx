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  <sheet name="Campaigns" sheetId="2" state="visible" r:id="rId2"/>
    <sheet name="Ship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March payroll (INR)</t>
        </is>
      </c>
    </row>
    <row r="2">
      <c r="A2" t="inlineStr">
        <is>
          <t>Employee</t>
        </is>
      </c>
      <c r="B2" t="inlineStr">
        <is>
          <t>Department</t>
        </is>
      </c>
      <c r="C2" t="inlineStr">
        <is>
          <t>Base salary</t>
        </is>
      </c>
      <c r="D2" t="inlineStr">
        <is>
          <t>Hours worked</t>
        </is>
      </c>
      <c r="E2" t="inlineStr">
        <is>
          <t>Overtime hours</t>
        </is>
      </c>
      <c r="F2" t="inlineStr">
        <is>
          <t>Overtime rate per hour</t>
        </is>
      </c>
      <c r="G2" t="inlineStr">
        <is>
          <t>Bonus %</t>
        </is>
      </c>
      <c r="H2" t="inlineStr">
        <is>
          <t>Gross pay</t>
        </is>
      </c>
      <c r="I2" t="inlineStr">
        <is>
          <t>Tax deducted</t>
        </is>
      </c>
      <c r="J2" t="inlineStr">
        <is>
          <t>Net pay</t>
        </is>
      </c>
      <c r="K2" t="inlineStr">
        <is>
          <t>Overtime share of gross</t>
        </is>
      </c>
      <c r="M2" t="inlineStr">
        <is>
          <t>Department</t>
        </is>
      </c>
      <c r="N2" t="inlineStr">
        <is>
          <t>Total gross pay</t>
        </is>
      </c>
    </row>
    <row r="3">
      <c r="A3" t="inlineStr">
        <is>
          <t>Anil</t>
        </is>
      </c>
      <c r="B3" t="inlineStr">
        <is>
          <t>Ops</t>
        </is>
      </c>
      <c r="C3" t="n">
        <v>52000</v>
      </c>
      <c r="D3" t="n">
        <v>176</v>
      </c>
      <c r="E3" t="n">
        <v>12</v>
      </c>
      <c r="F3" t="n">
        <v>450</v>
      </c>
      <c r="G3" t="n">
        <v>0.05</v>
      </c>
      <c r="H3">
        <f>C3*(1+G3)+E3*F3</f>
        <v/>
      </c>
      <c r="I3">
        <f>H3*0.1</f>
        <v/>
      </c>
      <c r="J3">
        <f>H3-I3</f>
        <v/>
      </c>
      <c r="K3">
        <f>E3*F3/H3</f>
        <v/>
      </c>
      <c r="M3" t="inlineStr">
        <is>
          <t>Ops</t>
        </is>
      </c>
      <c r="N3">
        <f>SUMIFS($H$3:$H$10,$B$3:$B$10,M3)</f>
        <v/>
      </c>
    </row>
    <row r="4">
      <c r="A4" t="inlineStr">
        <is>
          <t>Bina</t>
        </is>
      </c>
      <c r="B4" t="inlineStr">
        <is>
          <t>Sales</t>
        </is>
      </c>
      <c r="C4" t="n">
        <v>61000</v>
      </c>
      <c r="D4" t="n">
        <v>168</v>
      </c>
      <c r="E4" t="n">
        <v>0</v>
      </c>
      <c r="F4" t="n">
        <v>0</v>
      </c>
      <c r="G4" t="n">
        <v>0.12</v>
      </c>
      <c r="H4">
        <f>C4*(1+G4)+E4*F4</f>
        <v/>
      </c>
      <c r="I4">
        <f>H4*0.1</f>
        <v/>
      </c>
      <c r="J4">
        <f>H4-I4</f>
        <v/>
      </c>
      <c r="K4">
        <f>E4*F4/H4</f>
        <v/>
      </c>
      <c r="M4" t="inlineStr">
        <is>
          <t>Sales</t>
        </is>
      </c>
      <c r="N4">
        <f>SUMIFS($H$3:$H$10,$B$3:$B$10,M4)</f>
        <v/>
      </c>
    </row>
    <row r="5">
      <c r="A5" t="inlineStr">
        <is>
          <t>Charu</t>
        </is>
      </c>
      <c r="B5" t="inlineStr">
        <is>
          <t>Ops</t>
        </is>
      </c>
      <c r="C5" t="n">
        <v>48000</v>
      </c>
      <c r="D5" t="n">
        <v>180</v>
      </c>
      <c r="E5" t="n">
        <v>20</v>
      </c>
      <c r="F5" t="n">
        <v>400</v>
      </c>
      <c r="G5" t="n">
        <v>0</v>
      </c>
      <c r="H5">
        <f>C5*(1+G5)+E5*F5</f>
        <v/>
      </c>
      <c r="I5">
        <f>H5*0.1</f>
        <v/>
      </c>
      <c r="J5">
        <f>H5-I5</f>
        <v/>
      </c>
      <c r="K5">
        <f>E5*F5/H5</f>
        <v/>
      </c>
      <c r="M5" t="inlineStr">
        <is>
          <t>IT</t>
        </is>
      </c>
      <c r="N5">
        <f>SUMIFS($H$3:$H$10,$B$3:$B$10,M5)</f>
        <v/>
      </c>
    </row>
    <row r="6">
      <c r="A6" t="inlineStr">
        <is>
          <t>Deepak</t>
        </is>
      </c>
      <c r="B6" t="inlineStr">
        <is>
          <t>IT</t>
        </is>
      </c>
      <c r="C6" t="n">
        <v>90000</v>
      </c>
      <c r="D6" t="n">
        <v>160</v>
      </c>
      <c r="E6" t="n">
        <v>6</v>
      </c>
      <c r="F6" t="n">
        <v>900</v>
      </c>
      <c r="G6" t="n">
        <v>0.08</v>
      </c>
      <c r="H6">
        <f>C6*(1+G6)+E6*F6</f>
        <v/>
      </c>
      <c r="I6">
        <f>H6*0.1</f>
        <v/>
      </c>
      <c r="J6">
        <f>H6-I6</f>
        <v/>
      </c>
      <c r="K6">
        <f>E6*F6/H6</f>
        <v/>
      </c>
      <c r="M6" t="inlineStr">
        <is>
          <t>HR</t>
        </is>
      </c>
      <c r="N6">
        <f>SUMIFS($H$3:$H$10,$B$3:$B$10,M6)</f>
        <v/>
      </c>
    </row>
    <row r="7">
      <c r="A7" t="inlineStr">
        <is>
          <t>Esha</t>
        </is>
      </c>
      <c r="B7" t="inlineStr">
        <is>
          <t>Sales</t>
        </is>
      </c>
      <c r="C7" t="n">
        <v>58000</v>
      </c>
      <c r="D7" t="n">
        <v>172</v>
      </c>
      <c r="E7" t="n">
        <v>4</v>
      </c>
      <c r="F7" t="n">
        <v>500</v>
      </c>
      <c r="G7" t="n">
        <v>0.1</v>
      </c>
      <c r="H7">
        <f>C7*(1+G7)+E7*F7</f>
        <v/>
      </c>
      <c r="I7">
        <f>H7*0.1</f>
        <v/>
      </c>
      <c r="J7">
        <f>H7-I7</f>
        <v/>
      </c>
      <c r="K7">
        <f>E7*F7/H7</f>
        <v/>
      </c>
    </row>
    <row r="8">
      <c r="A8" t="inlineStr">
        <is>
          <t>Farid</t>
        </is>
      </c>
      <c r="B8" t="inlineStr">
        <is>
          <t>HR</t>
        </is>
      </c>
      <c r="C8" t="n">
        <v>45000</v>
      </c>
      <c r="D8" t="n">
        <v>165</v>
      </c>
      <c r="E8" t="n">
        <v>0</v>
      </c>
      <c r="F8" t="n">
        <v>0</v>
      </c>
      <c r="G8" t="n">
        <v>0.03</v>
      </c>
      <c r="H8">
        <f>C8*(1+G8)+E8*F8</f>
        <v/>
      </c>
      <c r="I8">
        <f>H8*0.1</f>
        <v/>
      </c>
      <c r="J8">
        <f>H8-I8</f>
        <v/>
      </c>
      <c r="K8">
        <f>E8*F8/H8</f>
        <v/>
      </c>
    </row>
    <row r="9">
      <c r="A9" t="inlineStr">
        <is>
          <t>Gita</t>
        </is>
      </c>
      <c r="B9" t="inlineStr">
        <is>
          <t>IT</t>
        </is>
      </c>
      <c r="C9" t="n">
        <v>82000</v>
      </c>
      <c r="D9" t="n">
        <v>170</v>
      </c>
      <c r="E9" t="n">
        <v>10</v>
      </c>
      <c r="F9" t="n">
        <v>850</v>
      </c>
      <c r="G9" t="n">
        <v>0.06</v>
      </c>
      <c r="H9">
        <f>C9*(1+G9)+E9*F9</f>
        <v/>
      </c>
      <c r="I9">
        <f>H9*0.1</f>
        <v/>
      </c>
      <c r="J9">
        <f>H9-I9</f>
        <v/>
      </c>
      <c r="K9">
        <f>E9*F9/H9</f>
        <v/>
      </c>
    </row>
    <row r="10">
      <c r="A10" t="inlineStr">
        <is>
          <t>Hari</t>
        </is>
      </c>
      <c r="B10" t="inlineStr">
        <is>
          <t>Ops</t>
        </is>
      </c>
      <c r="C10" t="n">
        <v>50000</v>
      </c>
      <c r="D10" t="n">
        <v>184</v>
      </c>
      <c r="E10" t="n">
        <v>24</v>
      </c>
      <c r="F10" t="n">
        <v>420</v>
      </c>
      <c r="G10" t="n">
        <v>0.02</v>
      </c>
      <c r="H10">
        <f>C10*(1+G10)+E10*F10</f>
        <v/>
      </c>
      <c r="I10">
        <f>H10*0.1</f>
        <v/>
      </c>
      <c r="J10">
        <f>H10-I10</f>
        <v/>
      </c>
      <c r="K10">
        <f>E10*F10/H10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Channel</t>
        </is>
      </c>
      <c r="C1" t="inlineStr">
        <is>
          <t>Spend (INR)</t>
        </is>
      </c>
      <c r="D1" t="inlineStr">
        <is>
          <t>Impressions</t>
        </is>
      </c>
      <c r="E1" t="inlineStr">
        <is>
          <t>Clicks</t>
        </is>
      </c>
      <c r="F1" t="inlineStr">
        <is>
          <t>Orders</t>
        </is>
      </c>
      <c r="G1" t="inlineStr">
        <is>
          <t>Revenue (INR)</t>
        </is>
      </c>
      <c r="H1" t="inlineStr">
        <is>
          <t>CTR</t>
        </is>
      </c>
      <c r="I1" t="inlineStr">
        <is>
          <t>CPC</t>
        </is>
      </c>
      <c r="J1" t="inlineStr">
        <is>
          <t>ROAS</t>
        </is>
      </c>
      <c r="K1" t="inlineStr">
        <is>
          <t>Cost per order</t>
        </is>
      </c>
    </row>
    <row r="2">
      <c r="A2" t="inlineStr">
        <is>
          <t>Diwali Sale</t>
        </is>
      </c>
      <c r="B2" t="inlineStr">
        <is>
          <t>Search</t>
        </is>
      </c>
      <c r="C2" t="n">
        <v>250000</v>
      </c>
      <c r="D2" t="n">
        <v>1200000</v>
      </c>
      <c r="E2" t="n">
        <v>36000</v>
      </c>
      <c r="F2" t="n">
        <v>900</v>
      </c>
      <c r="G2" t="n">
        <v>1350000</v>
      </c>
      <c r="H2">
        <f>E2/D2</f>
        <v/>
      </c>
      <c r="I2">
        <f>C2/E2</f>
        <v/>
      </c>
      <c r="J2">
        <f>G2/C2</f>
        <v/>
      </c>
      <c r="K2">
        <f>C2/F2</f>
        <v/>
      </c>
    </row>
    <row r="3">
      <c r="A3" t="inlineStr">
        <is>
          <t>New Year</t>
        </is>
      </c>
      <c r="B3" t="inlineStr">
        <is>
          <t>Social</t>
        </is>
      </c>
      <c r="C3" t="n">
        <v>180000</v>
      </c>
      <c r="D3" t="n">
        <v>2100000</v>
      </c>
      <c r="E3" t="n">
        <v>25200</v>
      </c>
      <c r="F3" t="n">
        <v>420</v>
      </c>
      <c r="G3" t="n">
        <v>630000</v>
      </c>
      <c r="H3">
        <f>E3/D3</f>
        <v/>
      </c>
      <c r="I3">
        <f>C3/E3</f>
        <v/>
      </c>
      <c r="J3">
        <f>G3/C3</f>
        <v/>
      </c>
      <c r="K3">
        <f>C3/F3</f>
        <v/>
      </c>
    </row>
    <row r="4">
      <c r="A4" t="inlineStr">
        <is>
          <t>Summer Drop</t>
        </is>
      </c>
      <c r="B4" t="inlineStr">
        <is>
          <t>Search</t>
        </is>
      </c>
      <c r="C4" t="n">
        <v>120000</v>
      </c>
      <c r="D4" t="n">
        <v>640000</v>
      </c>
      <c r="E4" t="n">
        <v>15360</v>
      </c>
      <c r="F4" t="n">
        <v>300</v>
      </c>
      <c r="G4" t="n">
        <v>510000</v>
      </c>
      <c r="H4">
        <f>E4/D4</f>
        <v/>
      </c>
      <c r="I4">
        <f>C4/E4</f>
        <v/>
      </c>
      <c r="J4">
        <f>G4/C4</f>
        <v/>
      </c>
      <c r="K4">
        <f>C4/F4</f>
        <v/>
      </c>
    </row>
    <row r="5">
      <c r="A5" t="inlineStr">
        <is>
          <t>Brand Week</t>
        </is>
      </c>
      <c r="B5" t="inlineStr">
        <is>
          <t>Display</t>
        </is>
      </c>
      <c r="C5" t="n">
        <v>90000</v>
      </c>
      <c r="D5" t="n">
        <v>3000000</v>
      </c>
      <c r="E5" t="n">
        <v>9000</v>
      </c>
      <c r="F5" t="n">
        <v>60</v>
      </c>
      <c r="G5" t="n">
        <v>96000</v>
      </c>
      <c r="H5">
        <f>E5/D5</f>
        <v/>
      </c>
      <c r="I5">
        <f>C5/E5</f>
        <v/>
      </c>
      <c r="J5">
        <f>G5/C5</f>
        <v/>
      </c>
      <c r="K5">
        <f>C5/F5</f>
        <v/>
      </c>
    </row>
    <row r="6">
      <c r="A6" t="inlineStr">
        <is>
          <t>Clearance</t>
        </is>
      </c>
      <c r="B6" t="inlineStr">
        <is>
          <t>Social</t>
        </is>
      </c>
      <c r="C6" t="n">
        <v>60000</v>
      </c>
      <c r="D6" t="n">
        <v>900000</v>
      </c>
      <c r="E6" t="n">
        <v>13500</v>
      </c>
      <c r="F6" t="n">
        <v>270</v>
      </c>
      <c r="G6" t="n">
        <v>405000</v>
      </c>
      <c r="H6">
        <f>E6/D6</f>
        <v/>
      </c>
      <c r="I6">
        <f>C6/E6</f>
        <v/>
      </c>
      <c r="J6">
        <f>G6/C6</f>
        <v/>
      </c>
      <c r="K6">
        <f>C6/F6</f>
        <v/>
      </c>
    </row>
    <row r="7">
      <c r="A7" t="inlineStr">
        <is>
          <t>Loyalty</t>
        </is>
      </c>
      <c r="B7" t="inlineStr">
        <is>
          <t>Email</t>
        </is>
      </c>
      <c r="C7" t="n">
        <v>15000</v>
      </c>
      <c r="D7" t="n">
        <v>80000</v>
      </c>
      <c r="E7" t="n">
        <v>4000</v>
      </c>
      <c r="F7" t="n">
        <v>160</v>
      </c>
      <c r="G7" t="n">
        <v>280000</v>
      </c>
      <c r="H7">
        <f>E7/D7</f>
        <v/>
      </c>
      <c r="I7">
        <f>C7/E7</f>
        <v/>
      </c>
      <c r="J7">
        <f>G7/C7</f>
        <v/>
      </c>
      <c r="K7">
        <f>C7/F7</f>
        <v/>
      </c>
    </row>
    <row r="9">
      <c r="A9" t="inlineStr">
        <is>
          <t>Total spend</t>
        </is>
      </c>
      <c r="B9">
        <f>SUM(C2:C7)</f>
        <v/>
      </c>
    </row>
    <row r="10">
      <c r="A10" t="inlineStr">
        <is>
          <t>Blended ROAS</t>
        </is>
      </c>
      <c r="B10">
        <f>SUM(G2:G7)/SUM(C2:C7)</f>
        <v/>
      </c>
    </row>
    <row r="11">
      <c r="A11" t="inlineStr">
        <is>
          <t>Campaigns with ROAS above 4</t>
        </is>
      </c>
      <c r="B11">
        <f>COUNTIF(J2:J7,"&gt;4")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log</t>
        </is>
      </c>
    </row>
    <row r="4">
      <c r="A4" t="inlineStr">
        <is>
          <t>Shipment ID</t>
        </is>
      </c>
      <c r="B4" t="inlineStr">
        <is>
          <t>Origin</t>
        </is>
      </c>
      <c r="C4" t="inlineStr">
        <is>
          <t>Destination</t>
        </is>
      </c>
      <c r="D4" t="inlineStr">
        <is>
          <t>Ship date</t>
        </is>
      </c>
      <c r="E4" t="inlineStr">
        <is>
          <t>Delivery date</t>
        </is>
      </c>
      <c r="F4" t="inlineStr">
        <is>
          <t>Weight (kg)</t>
        </is>
      </c>
      <c r="G4" t="inlineStr">
        <is>
          <t>Freight cost (INR)</t>
        </is>
      </c>
      <c r="H4" t="inlineStr">
        <is>
          <t>Status</t>
        </is>
      </c>
      <c r="J4" t="inlineStr">
        <is>
          <t>Metric</t>
        </is>
      </c>
      <c r="K4" t="inlineStr">
        <is>
          <t>Value</t>
        </is>
      </c>
    </row>
    <row r="5">
      <c r="A5" t="inlineStr">
        <is>
          <t>S-101</t>
        </is>
      </c>
      <c r="B5" t="inlineStr">
        <is>
          <t>Mumbai</t>
        </is>
      </c>
      <c r="C5" t="inlineStr">
        <is>
          <t>Delhi</t>
        </is>
      </c>
      <c r="D5" s="1" t="n">
        <v>46086</v>
      </c>
      <c r="E5" s="1" t="n">
        <v>46089</v>
      </c>
      <c r="F5" t="n">
        <v>120</v>
      </c>
      <c r="G5" t="n">
        <v>9600</v>
      </c>
      <c r="H5" t="inlineStr">
        <is>
          <t>Delivered</t>
        </is>
      </c>
      <c r="J5" t="inlineStr">
        <is>
          <t>Delivered share</t>
        </is>
      </c>
      <c r="K5">
        <f>COUNTIF(H5:H12,"Delivered")/COUNTA(A5:A12)</f>
        <v/>
      </c>
      <c r="L5" t="inlineStr">
        <is>
          <t>(per-row) Transit days</t>
        </is>
      </c>
    </row>
    <row r="6">
      <c r="A6" t="inlineStr">
        <is>
          <t>S-102</t>
        </is>
      </c>
      <c r="B6" t="inlineStr">
        <is>
          <t>Pune</t>
        </is>
      </c>
      <c r="C6" t="inlineStr">
        <is>
          <t>Chennai</t>
        </is>
      </c>
      <c r="D6" s="1" t="n">
        <v>46087</v>
      </c>
      <c r="E6" s="1" t="n">
        <v>46092</v>
      </c>
      <c r="F6" t="n">
        <v>80</v>
      </c>
      <c r="G6" t="n">
        <v>7200</v>
      </c>
      <c r="H6" t="inlineStr">
        <is>
          <t>Delivered</t>
        </is>
      </c>
      <c r="J6" t="inlineStr">
        <is>
          <t>Average transit days (delivered)</t>
        </is>
      </c>
      <c r="K6">
        <f>SUMPRODUCT((H5:H12="Delivered")*(E5:E12-D5:D12))/COUNTIF(H5:H12,"Delivered")</f>
        <v/>
      </c>
      <c r="L6">
        <f>E6-D6</f>
        <v/>
      </c>
    </row>
    <row r="7">
      <c r="A7" t="inlineStr">
        <is>
          <t>S-103</t>
        </is>
      </c>
      <c r="B7" t="inlineStr">
        <is>
          <t>Delhi</t>
        </is>
      </c>
      <c r="C7" t="inlineStr">
        <is>
          <t>Kolkata</t>
        </is>
      </c>
      <c r="D7" s="1" t="n">
        <v>46087</v>
      </c>
      <c r="E7" s="1" t="n"/>
      <c r="F7" t="n">
        <v>200</v>
      </c>
      <c r="G7" t="n">
        <v>15000</v>
      </c>
      <c r="H7" t="inlineStr">
        <is>
          <t>In transit</t>
        </is>
      </c>
      <c r="J7" t="inlineStr">
        <is>
          <t>Freight cost per kg (all)</t>
        </is>
      </c>
      <c r="K7">
        <f>SUM(G5:G12)/SUM(F5:F12)</f>
        <v/>
      </c>
    </row>
    <row r="8">
      <c r="A8" t="inlineStr">
        <is>
          <t>S-104</t>
        </is>
      </c>
      <c r="B8" t="inlineStr">
        <is>
          <t>Mumbai</t>
        </is>
      </c>
      <c r="C8" t="inlineStr">
        <is>
          <t>Bengaluru</t>
        </is>
      </c>
      <c r="D8" s="1" t="n">
        <v>46088</v>
      </c>
      <c r="E8" s="1" t="n">
        <v>46091</v>
      </c>
      <c r="F8" t="n">
        <v>65</v>
      </c>
      <c r="G8" t="n">
        <v>5850</v>
      </c>
      <c r="H8" t="inlineStr">
        <is>
          <t>Delivered</t>
        </is>
      </c>
      <c r="J8" t="inlineStr">
        <is>
          <t>Shipments from Mumbai</t>
        </is>
      </c>
      <c r="K8">
        <f>COUNTIF(B5:B12,"Mumbai")</f>
        <v/>
      </c>
    </row>
    <row r="9">
      <c r="A9" t="inlineStr">
        <is>
          <t>S-105</t>
        </is>
      </c>
      <c r="B9" t="inlineStr">
        <is>
          <t>Chennai</t>
        </is>
      </c>
      <c r="C9" t="inlineStr">
        <is>
          <t>Mumbai</t>
        </is>
      </c>
      <c r="D9" s="1" t="n">
        <v>46089</v>
      </c>
      <c r="E9" s="1" t="n">
        <v>46095</v>
      </c>
      <c r="F9" t="n">
        <v>150</v>
      </c>
      <c r="G9" t="n">
        <v>12750</v>
      </c>
      <c r="H9" t="inlineStr">
        <is>
          <t>Delayed</t>
        </is>
      </c>
      <c r="J9" t="inlineStr">
        <is>
          <t>Heaviest shipment ID</t>
        </is>
      </c>
      <c r="K9">
        <f>INDEX(A5:A12,MATCH(MAX(F5:F12),F5:F12,0))</f>
        <v/>
      </c>
    </row>
    <row r="10">
      <c r="A10" t="inlineStr">
        <is>
          <t>S-106</t>
        </is>
      </c>
      <c r="B10" t="inlineStr">
        <is>
          <t>Pune</t>
        </is>
      </c>
      <c r="C10" t="inlineStr">
        <is>
          <t>Delhi</t>
        </is>
      </c>
      <c r="D10" s="1" t="n">
        <v>46090</v>
      </c>
      <c r="E10" s="1" t="n">
        <v>46093</v>
      </c>
      <c r="F10" t="n">
        <v>40</v>
      </c>
      <c r="G10" t="n">
        <v>4000</v>
      </c>
      <c r="H10" t="inlineStr">
        <is>
          <t>Delivered</t>
        </is>
      </c>
    </row>
    <row r="11">
      <c r="A11" t="inlineStr">
        <is>
          <t>S-107</t>
        </is>
      </c>
      <c r="B11" t="inlineStr">
        <is>
          <t>Delhi</t>
        </is>
      </c>
      <c r="C11" t="inlineStr">
        <is>
          <t>Mumbai</t>
        </is>
      </c>
      <c r="D11" s="1" t="n">
        <v>46091</v>
      </c>
      <c r="E11" s="1" t="n"/>
      <c r="F11" t="n">
        <v>95</v>
      </c>
      <c r="G11" t="n">
        <v>8075</v>
      </c>
      <c r="H11" t="inlineStr">
        <is>
          <t>Lost</t>
        </is>
      </c>
    </row>
    <row r="12">
      <c r="A12" t="inlineStr">
        <is>
          <t>S-108</t>
        </is>
      </c>
      <c r="B12" t="inlineStr">
        <is>
          <t>Kolkata</t>
        </is>
      </c>
      <c r="C12" t="inlineStr">
        <is>
          <t>Pune</t>
        </is>
      </c>
      <c r="D12" s="1" t="n">
        <v>46092</v>
      </c>
      <c r="E12" s="1" t="n">
        <v>46097</v>
      </c>
      <c r="F12" t="n">
        <v>110</v>
      </c>
      <c r="G12" t="n">
        <v>9900</v>
      </c>
      <c r="H12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2026-10-23T16:48:22Z</dcterms:created>
  <dcterms:modified xsi:type="dcterms:W3CDTF">2026-10-23T16:48:22Z</dcterms:modified>
</cp:coreProperties>
</file>